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Nam3\TaiLieuHocKi6\ML\submit\"/>
    </mc:Choice>
  </mc:AlternateContent>
  <xr:revisionPtr revIDLastSave="0" documentId="8_{44B95383-00DE-48F6-AB73-861F114C6D78}" xr6:coauthVersionLast="47" xr6:coauthVersionMax="47" xr10:uidLastSave="{00000000-0000-0000-0000-000000000000}"/>
  <bookViews>
    <workbookView xWindow="12710" yWindow="0" windowWidth="12980" windowHeight="15370" xr2:uid="{C81B0450-BD19-4E69-9A07-4C121F2148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4" i="1" l="1"/>
  <c r="Q13" i="1"/>
  <c r="Q3" i="1"/>
  <c r="Q4" i="1"/>
  <c r="Q5" i="1"/>
  <c r="Q6" i="1"/>
  <c r="Q7" i="1"/>
  <c r="Q8" i="1"/>
  <c r="Q9" i="1"/>
  <c r="Q10" i="1"/>
  <c r="Q11" i="1"/>
  <c r="Q12" i="1"/>
  <c r="Q2" i="1"/>
  <c r="P12" i="1"/>
  <c r="P3" i="1"/>
  <c r="P4" i="1"/>
  <c r="P5" i="1"/>
  <c r="P6" i="1"/>
  <c r="P7" i="1"/>
  <c r="P8" i="1"/>
  <c r="P9" i="1"/>
  <c r="P10" i="1"/>
  <c r="P11" i="1"/>
  <c r="P2" i="1"/>
  <c r="N9" i="1" a="1"/>
  <c r="N9" i="1" s="1"/>
  <c r="K9" i="1" a="1"/>
  <c r="K9" i="1" s="1"/>
  <c r="K5" i="1" a="1"/>
  <c r="K5" i="1" s="1"/>
  <c r="K1" i="1" a="1"/>
  <c r="K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<sst xmlns="http://schemas.openxmlformats.org/spreadsheetml/2006/main" count="17" uniqueCount="14">
  <si>
    <t>Color</t>
  </si>
  <si>
    <t>Quality</t>
  </si>
  <si>
    <t>Price</t>
  </si>
  <si>
    <t>x0</t>
  </si>
  <si>
    <t xml:space="preserve"> </t>
  </si>
  <si>
    <t xml:space="preserve">   </t>
  </si>
  <si>
    <t>(X'X)=</t>
  </si>
  <si>
    <t>(X'Y)_inv=</t>
  </si>
  <si>
    <t>(X'Y)=</t>
  </si>
  <si>
    <t>B_hat=</t>
  </si>
  <si>
    <t>Predicted Price</t>
  </si>
  <si>
    <t>Squared Error</t>
  </si>
  <si>
    <t>MSE=</t>
  </si>
  <si>
    <t>RMSE=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</si>
</sst>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4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left" wrapText="1" readingOrder="1"/>
    </xf>
    <xf numFmtId="0" fontId="2" fillId="0" borderId="1" xfId="0" applyFont="1" applyBorder="1" applyAlignment="1">
      <alignment horizontal="right" wrapText="1" readingOrder="1"/>
    </xf>
    <xf numFmtId="0" fontId="2" fillId="0" borderId="2" xfId="0" applyFont="1" applyFill="1" applyBorder="1" applyAlignment="1">
      <alignment horizontal="left" wrapText="1" readingOrder="1"/>
    </xf>
    <xf numFmtId="0" fontId="2" fillId="0" borderId="2" xfId="0" applyFont="1" applyBorder="1" applyAlignment="1">
      <alignment horizontal="left" wrapText="1" readingOrder="1"/>
    </xf>
    <xf numFmtId="0" fontId="2" fillId="0" borderId="2" xfId="0" applyFont="1" applyFill="1" applyBorder="1" applyAlignment="1">
      <alignment horizontal="right" wrapText="1" readingOrder="1"/>
    </xf>
    <xf numFmtId="0" fontId="2" fillId="0" borderId="3" xfId="0" applyFont="1" applyFill="1" applyBorder="1" applyAlignment="1">
      <alignment horizontal="left" wrapText="1" readingOrder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7A422-27F1-458C-9540-CAAA5F4AF264}">
  <dimension ref="A1:Q15"/>
  <sheetViews>
    <sheetView tabSelected="1" topLeftCell="H1" workbookViewId="0">
      <selection activeCell="Q15" sqref="Q15"/>
    </sheetView>
  </sheetViews>
  <sheetFormatPr defaultRowHeight="14.5" x14ac:dyDescent="0.35"/>
  <cols>
    <col min="1" max="1" width="12" bestFit="1" customWidth="1"/>
    <col min="2" max="2" width="15" bestFit="1" customWidth="1"/>
    <col min="3" max="3" width="11.453125" bestFit="1" customWidth="1"/>
    <col min="6" max="6" width="12" bestFit="1" customWidth="1"/>
    <col min="7" max="7" width="15" bestFit="1" customWidth="1"/>
    <col min="8" max="8" width="11.453125" bestFit="1" customWidth="1"/>
    <col min="10" max="10" width="13.453125" bestFit="1" customWidth="1"/>
    <col min="16" max="16" width="13.26953125" bestFit="1" customWidth="1"/>
    <col min="17" max="17" width="11.7265625" bestFit="1" customWidth="1"/>
  </cols>
  <sheetData>
    <row r="1" spans="1:17" ht="44.5" customHeight="1" thickBot="1" x14ac:dyDescent="0.6">
      <c r="A1" s="1" t="s">
        <v>0</v>
      </c>
      <c r="B1" s="1" t="s">
        <v>1</v>
      </c>
      <c r="C1" s="1" t="s">
        <v>2</v>
      </c>
      <c r="E1" s="3" t="s">
        <v>3</v>
      </c>
      <c r="F1" s="4" t="s">
        <v>0</v>
      </c>
      <c r="G1" s="4" t="s">
        <v>1</v>
      </c>
      <c r="H1" s="4" t="s">
        <v>2</v>
      </c>
      <c r="J1" s="6" t="s">
        <v>6</v>
      </c>
      <c r="K1" cm="1">
        <f t="array" ref="K1:N4">MMULT(TRANSPOSE(E2:H12),E2:H12)</f>
        <v>11</v>
      </c>
      <c r="L1">
        <v>66</v>
      </c>
      <c r="M1">
        <v>47</v>
      </c>
      <c r="N1">
        <v>519</v>
      </c>
      <c r="P1" s="7" t="s">
        <v>10</v>
      </c>
      <c r="Q1" s="7" t="s">
        <v>11</v>
      </c>
    </row>
    <row r="2" spans="1:17" ht="30" thickBot="1" x14ac:dyDescent="0.6">
      <c r="A2" s="2">
        <v>7</v>
      </c>
      <c r="B2" s="2">
        <v>5</v>
      </c>
      <c r="C2" s="2">
        <v>65</v>
      </c>
      <c r="E2" s="5">
        <v>1</v>
      </c>
      <c r="F2" s="2">
        <v>7</v>
      </c>
      <c r="G2" s="2">
        <v>5</v>
      </c>
      <c r="H2" s="2">
        <v>65</v>
      </c>
      <c r="K2">
        <v>66</v>
      </c>
      <c r="L2">
        <v>454</v>
      </c>
      <c r="M2">
        <v>261</v>
      </c>
      <c r="N2">
        <v>3319</v>
      </c>
      <c r="P2">
        <f>$N$9*E2+$N$10*F2+$N$11*G2</f>
        <v>54.810499624828537</v>
      </c>
      <c r="Q2">
        <f>POWER(H2-P2,2)</f>
        <v>103.82591789561937</v>
      </c>
    </row>
    <row r="3" spans="1:17" ht="30" thickBot="1" x14ac:dyDescent="0.6">
      <c r="A3" s="2">
        <v>3</v>
      </c>
      <c r="B3" s="2">
        <v>7</v>
      </c>
      <c r="C3" s="2">
        <v>38</v>
      </c>
      <c r="E3" s="5">
        <v>1</v>
      </c>
      <c r="F3" s="2">
        <v>3</v>
      </c>
      <c r="G3" s="2">
        <v>7</v>
      </c>
      <c r="H3" s="2">
        <v>38</v>
      </c>
      <c r="K3">
        <v>47</v>
      </c>
      <c r="L3">
        <v>261</v>
      </c>
      <c r="M3">
        <v>269</v>
      </c>
      <c r="N3">
        <v>2371</v>
      </c>
      <c r="P3">
        <f t="shared" ref="P3:P12" si="0">$N$9*E3+$N$10*F3+$N$11*G3</f>
        <v>42.746177132655433</v>
      </c>
      <c r="Q3">
        <f t="shared" ref="Q3:Q12" si="1">POWER(H3-P3,2)</f>
        <v>22.526197374541344</v>
      </c>
    </row>
    <row r="4" spans="1:17" ht="30" thickBot="1" x14ac:dyDescent="0.6">
      <c r="A4" s="2">
        <v>5</v>
      </c>
      <c r="B4" s="2">
        <v>8</v>
      </c>
      <c r="C4" s="2">
        <v>51</v>
      </c>
      <c r="E4" s="5">
        <v>1</v>
      </c>
      <c r="F4" s="2">
        <v>5</v>
      </c>
      <c r="G4" s="2">
        <v>8</v>
      </c>
      <c r="H4" s="2">
        <v>51</v>
      </c>
      <c r="J4" t="s">
        <v>4</v>
      </c>
      <c r="K4">
        <v>519</v>
      </c>
      <c r="L4">
        <v>3319</v>
      </c>
      <c r="M4">
        <v>2371</v>
      </c>
      <c r="N4">
        <v>26345</v>
      </c>
      <c r="P4">
        <f t="shared" si="0"/>
        <v>56.295169344614322</v>
      </c>
      <c r="Q4">
        <f t="shared" si="1"/>
        <v>28.038818388143273</v>
      </c>
    </row>
    <row r="5" spans="1:17" ht="30" thickBot="1" x14ac:dyDescent="0.6">
      <c r="A5" s="2">
        <v>8</v>
      </c>
      <c r="B5" s="2">
        <v>1</v>
      </c>
      <c r="C5" s="2">
        <v>38</v>
      </c>
      <c r="E5" s="5">
        <v>1</v>
      </c>
      <c r="F5" s="2">
        <v>8</v>
      </c>
      <c r="G5" s="2">
        <v>1</v>
      </c>
      <c r="H5" s="2">
        <v>38</v>
      </c>
      <c r="J5" t="s">
        <v>7</v>
      </c>
      <c r="K5" cm="1">
        <f t="array" ref="K5:M7">MINVERSE(K1:M3)</f>
        <v>1.3973194649279432</v>
      </c>
      <c r="L5">
        <v>-0.14197003803461952</v>
      </c>
      <c r="M5">
        <v>-0.10639343838132949</v>
      </c>
      <c r="P5">
        <f t="shared" si="0"/>
        <v>44.672126057595207</v>
      </c>
      <c r="Q5">
        <f t="shared" si="1"/>
        <v>44.517266128440966</v>
      </c>
    </row>
    <row r="6" spans="1:17" ht="30" thickBot="1" x14ac:dyDescent="0.6">
      <c r="A6" s="2">
        <v>9</v>
      </c>
      <c r="B6" s="2">
        <v>3</v>
      </c>
      <c r="C6" s="2">
        <v>55</v>
      </c>
      <c r="E6" s="5">
        <v>1</v>
      </c>
      <c r="F6" s="2">
        <v>9</v>
      </c>
      <c r="G6" s="2">
        <v>3</v>
      </c>
      <c r="H6" s="2">
        <v>55</v>
      </c>
      <c r="K6">
        <v>-0.14197003803461947</v>
      </c>
      <c r="L6">
        <v>1.9405417992703587E-2</v>
      </c>
      <c r="M6">
        <v>5.9768687417527068E-3</v>
      </c>
      <c r="P6">
        <f t="shared" si="0"/>
        <v>57.08424538797891</v>
      </c>
      <c r="Q6">
        <f t="shared" si="1"/>
        <v>4.3440788373113586</v>
      </c>
    </row>
    <row r="7" spans="1:17" ht="30" thickBot="1" x14ac:dyDescent="0.6">
      <c r="A7" s="2">
        <v>5</v>
      </c>
      <c r="B7" s="2">
        <v>4</v>
      </c>
      <c r="C7" s="2">
        <v>43</v>
      </c>
      <c r="E7" s="5">
        <v>1</v>
      </c>
      <c r="F7" s="2">
        <v>5</v>
      </c>
      <c r="G7" s="2">
        <v>4</v>
      </c>
      <c r="H7" s="2">
        <v>43</v>
      </c>
      <c r="K7">
        <v>-0.10639343838132957</v>
      </c>
      <c r="L7">
        <v>5.976868741752718E-3</v>
      </c>
      <c r="M7">
        <v>1.6507542239126507E-2</v>
      </c>
      <c r="P7">
        <f t="shared" si="0"/>
        <v>41.261507412869634</v>
      </c>
      <c r="Q7">
        <f t="shared" si="1"/>
        <v>3.0223564755072347</v>
      </c>
    </row>
    <row r="8" spans="1:17" ht="30" thickBot="1" x14ac:dyDescent="0.6">
      <c r="A8" s="2">
        <v>4</v>
      </c>
      <c r="B8" s="2">
        <v>0</v>
      </c>
      <c r="C8" s="2">
        <v>25</v>
      </c>
      <c r="E8" s="5">
        <v>1</v>
      </c>
      <c r="F8" s="2">
        <v>4</v>
      </c>
      <c r="G8" s="2">
        <v>0</v>
      </c>
      <c r="H8" s="2">
        <v>25</v>
      </c>
      <c r="P8">
        <f t="shared" si="0"/>
        <v>21.332557116613586</v>
      </c>
      <c r="Q8">
        <f t="shared" si="1"/>
        <v>13.450137302901656</v>
      </c>
    </row>
    <row r="9" spans="1:17" ht="30" thickBot="1" x14ac:dyDescent="0.6">
      <c r="A9" s="2">
        <v>2</v>
      </c>
      <c r="B9" s="2">
        <v>6</v>
      </c>
      <c r="C9" s="2">
        <v>33</v>
      </c>
      <c r="E9" s="5">
        <v>1</v>
      </c>
      <c r="F9" s="2">
        <v>2</v>
      </c>
      <c r="G9" s="2">
        <v>6</v>
      </c>
      <c r="H9" s="2">
        <v>33</v>
      </c>
      <c r="J9" t="s">
        <v>8</v>
      </c>
      <c r="K9" cm="1">
        <f t="array" ref="K9:K11">MMULT(TRANSPOSE(E2:G12),H2:H12)</f>
        <v>519</v>
      </c>
      <c r="M9" t="s">
        <v>9</v>
      </c>
      <c r="N9" cm="1">
        <f t="array" ref="N9:N11">MMULT(_xlfn.ANCHORARRAY(K5),_xlfn.ANCHORARRAY(K9))</f>
        <v>1.7514036585681367</v>
      </c>
      <c r="P9">
        <f t="shared" si="0"/>
        <v>34.092473285207895</v>
      </c>
      <c r="Q9">
        <f t="shared" si="1"/>
        <v>1.19349787889293</v>
      </c>
    </row>
    <row r="10" spans="1:17" ht="30" thickBot="1" x14ac:dyDescent="0.6">
      <c r="A10" s="2">
        <v>8</v>
      </c>
      <c r="B10" s="2">
        <v>7</v>
      </c>
      <c r="C10" s="2">
        <v>71</v>
      </c>
      <c r="E10" s="5">
        <v>1</v>
      </c>
      <c r="F10" s="2">
        <v>8</v>
      </c>
      <c r="G10" s="2">
        <v>7</v>
      </c>
      <c r="H10" s="2">
        <v>71</v>
      </c>
      <c r="K10">
        <v>3319</v>
      </c>
      <c r="N10">
        <v>4.8952883645113623</v>
      </c>
      <c r="P10">
        <f t="shared" si="0"/>
        <v>67.222618955212241</v>
      </c>
      <c r="Q10">
        <f t="shared" si="1"/>
        <v>14.268607557521864</v>
      </c>
    </row>
    <row r="11" spans="1:17" ht="30" thickBot="1" x14ac:dyDescent="0.6">
      <c r="A11" s="2">
        <v>6</v>
      </c>
      <c r="B11" s="2">
        <v>4</v>
      </c>
      <c r="C11" s="2">
        <v>51</v>
      </c>
      <c r="E11" s="5">
        <v>1</v>
      </c>
      <c r="F11" s="2">
        <v>6</v>
      </c>
      <c r="G11" s="2">
        <v>4</v>
      </c>
      <c r="H11" s="2">
        <v>51</v>
      </c>
      <c r="K11">
        <v>2371</v>
      </c>
      <c r="N11">
        <v>3.7584154829361722</v>
      </c>
      <c r="P11">
        <f t="shared" si="0"/>
        <v>46.156795777380999</v>
      </c>
      <c r="Q11">
        <f t="shared" si="1"/>
        <v>23.456627141994517</v>
      </c>
    </row>
    <row r="12" spans="1:17" ht="30" thickBot="1" x14ac:dyDescent="0.6">
      <c r="A12" s="2">
        <v>9</v>
      </c>
      <c r="B12" s="2">
        <v>2</v>
      </c>
      <c r="C12" s="2">
        <v>49</v>
      </c>
      <c r="E12" s="5">
        <v>1</v>
      </c>
      <c r="F12" s="2">
        <v>9</v>
      </c>
      <c r="G12" s="2">
        <v>2</v>
      </c>
      <c r="H12" s="2">
        <v>49</v>
      </c>
      <c r="P12">
        <f t="shared" si="0"/>
        <v>53.325829905042738</v>
      </c>
      <c r="Q12">
        <f t="shared" si="1"/>
        <v>18.712804367362065</v>
      </c>
    </row>
    <row r="13" spans="1:17" x14ac:dyDescent="0.35">
      <c r="P13" t="s">
        <v>12</v>
      </c>
      <c r="Q13">
        <f>AVERAGE(Q2:Q12)</f>
        <v>25.214209940748784</v>
      </c>
    </row>
    <row r="14" spans="1:17" x14ac:dyDescent="0.35">
      <c r="P14" t="s">
        <v>13</v>
      </c>
      <c r="Q14">
        <f>SQRT(Q13)</f>
        <v>5.0213753037139917</v>
      </c>
    </row>
    <row r="15" spans="1:17" x14ac:dyDescent="0.35">
      <c r="F1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Quoc Viett</dc:creator>
  <cp:lastModifiedBy>Quoc Viett</cp:lastModifiedBy>
  <dcterms:created xsi:type="dcterms:W3CDTF">2025-10-26T02:12:29Z</dcterms:created>
  <dcterms:modified xsi:type="dcterms:W3CDTF">2025-10-26T02:50:02Z</dcterms:modified>
</cp:coreProperties>
</file>