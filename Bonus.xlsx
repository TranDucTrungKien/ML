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Ki7\ML\K23_mlba\Sun_26-10\"/>
    </mc:Choice>
  </mc:AlternateContent>
  <xr:revisionPtr revIDLastSave="0" documentId="13_ncr:1_{85CA6BBC-9CF2-479D-9229-FFBE12639ADA}" xr6:coauthVersionLast="47" xr6:coauthVersionMax="47" xr10:uidLastSave="{00000000-0000-0000-0000-000000000000}"/>
  <bookViews>
    <workbookView xWindow="-100" yWindow="-100" windowWidth="21467" windowHeight="11443" xr2:uid="{19AA6D46-FA39-4035-B9D8-6CFA5D130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3" i="1" l="1"/>
  <c r="P2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L13" i="1" a="1"/>
  <c r="L14" i="1" s="1"/>
  <c r="I13" i="1" a="1"/>
  <c r="I13" i="1" s="1"/>
  <c r="I7" i="1" a="1"/>
  <c r="I7" i="1" s="1"/>
  <c r="I1" i="1" a="1"/>
  <c r="L5" i="1" s="1"/>
  <c r="I4" i="1"/>
  <c r="L13" i="1" l="1"/>
  <c r="L17" i="1"/>
  <c r="L16" i="1"/>
  <c r="L15" i="1"/>
  <c r="I16" i="1"/>
  <c r="I14" i="1"/>
  <c r="I17" i="1"/>
  <c r="I15" i="1"/>
  <c r="L7" i="1"/>
  <c r="L11" i="1"/>
  <c r="K8" i="1"/>
  <c r="M9" i="1"/>
  <c r="J11" i="1"/>
  <c r="L9" i="1"/>
  <c r="I11" i="1"/>
  <c r="K9" i="1"/>
  <c r="M7" i="1"/>
  <c r="M10" i="1"/>
  <c r="J9" i="1"/>
  <c r="L10" i="1"/>
  <c r="I9" i="1"/>
  <c r="K7" i="1"/>
  <c r="I10" i="1"/>
  <c r="K11" i="1"/>
  <c r="J8" i="1"/>
  <c r="I8" i="1"/>
  <c r="K10" i="1"/>
  <c r="M8" i="1"/>
  <c r="J7" i="1"/>
  <c r="M11" i="1"/>
  <c r="J10" i="1"/>
  <c r="L8" i="1"/>
  <c r="M5" i="1"/>
  <c r="J4" i="1"/>
  <c r="L2" i="1"/>
  <c r="K2" i="1"/>
  <c r="L1" i="1"/>
  <c r="K5" i="1"/>
  <c r="M3" i="1"/>
  <c r="J2" i="1"/>
  <c r="J5" i="1"/>
  <c r="L3" i="1"/>
  <c r="I2" i="1"/>
  <c r="I5" i="1"/>
  <c r="K3" i="1"/>
  <c r="M1" i="1"/>
  <c r="M4" i="1"/>
  <c r="J3" i="1"/>
  <c r="L4" i="1"/>
  <c r="I3" i="1"/>
  <c r="K1" i="1"/>
  <c r="K4" i="1"/>
  <c r="M2" i="1"/>
  <c r="J1" i="1"/>
  <c r="I1" i="1"/>
</calcChain>
</file>

<file path=xl/sharedStrings.xml><?xml version="1.0" encoding="utf-8"?>
<sst xmlns="http://schemas.openxmlformats.org/spreadsheetml/2006/main" count="14" uniqueCount="14">
  <si>
    <t>x1</t>
  </si>
  <si>
    <t>x2</t>
  </si>
  <si>
    <t>x3</t>
  </si>
  <si>
    <t>x4</t>
  </si>
  <si>
    <t>y</t>
  </si>
  <si>
    <t>x0</t>
  </si>
  <si>
    <t>(X'X)=</t>
  </si>
  <si>
    <t>(X'X)_inversed=</t>
  </si>
  <si>
    <t>(X'Y)=</t>
  </si>
  <si>
    <t>b_hat=</t>
  </si>
  <si>
    <t>y_predicted</t>
  </si>
  <si>
    <t>sq_error</t>
  </si>
  <si>
    <t>MSE=</t>
  </si>
  <si>
    <t>RMSE=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</si>
</sst>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vs. y_predicted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rgbClr val="99CC00"/>
              </a:solidFill>
              <a:round/>
            </a:ln>
            <a:effectLst/>
          </c:spPr>
          <c:marker>
            <c:symbol val="none"/>
          </c:marker>
          <c:val>
            <c:numRef>
              <c:f>Sheet1!$F$2:$F$21</c:f>
              <c:numCache>
                <c:formatCode>General</c:formatCode>
                <c:ptCount val="20"/>
                <c:pt idx="0">
                  <c:v>0.04</c:v>
                </c:pt>
                <c:pt idx="1">
                  <c:v>2.0699999999999998</c:v>
                </c:pt>
                <c:pt idx="2">
                  <c:v>4.18</c:v>
                </c:pt>
                <c:pt idx="3">
                  <c:v>4.63</c:v>
                </c:pt>
                <c:pt idx="4">
                  <c:v>6.57</c:v>
                </c:pt>
                <c:pt idx="5">
                  <c:v>6.91</c:v>
                </c:pt>
                <c:pt idx="6">
                  <c:v>9.23</c:v>
                </c:pt>
                <c:pt idx="7">
                  <c:v>11.4</c:v>
                </c:pt>
                <c:pt idx="8">
                  <c:v>12.04</c:v>
                </c:pt>
                <c:pt idx="9">
                  <c:v>16.75</c:v>
                </c:pt>
                <c:pt idx="10">
                  <c:v>24.55</c:v>
                </c:pt>
                <c:pt idx="11">
                  <c:v>27.64</c:v>
                </c:pt>
                <c:pt idx="12">
                  <c:v>29.64</c:v>
                </c:pt>
                <c:pt idx="13">
                  <c:v>32.9</c:v>
                </c:pt>
                <c:pt idx="14">
                  <c:v>33.520000000000003</c:v>
                </c:pt>
                <c:pt idx="15">
                  <c:v>33.75</c:v>
                </c:pt>
                <c:pt idx="16">
                  <c:v>42.89</c:v>
                </c:pt>
                <c:pt idx="17">
                  <c:v>48.87</c:v>
                </c:pt>
                <c:pt idx="18">
                  <c:v>58.45</c:v>
                </c:pt>
                <c:pt idx="19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0-4336-8A36-7CD85DCA058B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y_predicted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Sheet1!$O$2:$O$21</c:f>
              <c:numCache>
                <c:formatCode>General</c:formatCode>
                <c:ptCount val="20"/>
                <c:pt idx="0">
                  <c:v>-2.9873653592703917</c:v>
                </c:pt>
                <c:pt idx="1">
                  <c:v>2.2190383499989954</c:v>
                </c:pt>
                <c:pt idx="2">
                  <c:v>5.0509863555099717</c:v>
                </c:pt>
                <c:pt idx="3">
                  <c:v>3.0460183749668479</c:v>
                </c:pt>
                <c:pt idx="4">
                  <c:v>5.9714004461542274</c:v>
                </c:pt>
                <c:pt idx="5">
                  <c:v>5.4794413715597639</c:v>
                </c:pt>
                <c:pt idx="6">
                  <c:v>9.0425435495602287</c:v>
                </c:pt>
                <c:pt idx="7">
                  <c:v>12.213763941518863</c:v>
                </c:pt>
                <c:pt idx="8">
                  <c:v>12.58154827798251</c:v>
                </c:pt>
                <c:pt idx="9">
                  <c:v>17.098462726583833</c:v>
                </c:pt>
                <c:pt idx="10">
                  <c:v>28.452671507716108</c:v>
                </c:pt>
                <c:pt idx="11">
                  <c:v>30.437149817828164</c:v>
                </c:pt>
                <c:pt idx="12">
                  <c:v>28.872762605887885</c:v>
                </c:pt>
                <c:pt idx="13">
                  <c:v>34.687532957624349</c:v>
                </c:pt>
                <c:pt idx="14">
                  <c:v>34.501474834117069</c:v>
                </c:pt>
                <c:pt idx="15">
                  <c:v>34.562469335144868</c:v>
                </c:pt>
                <c:pt idx="16">
                  <c:v>43.405667549512252</c:v>
                </c:pt>
                <c:pt idx="17">
                  <c:v>48.725261946269441</c:v>
                </c:pt>
                <c:pt idx="18">
                  <c:v>56.387018260658849</c:v>
                </c:pt>
                <c:pt idx="19">
                  <c:v>57.972153150676007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0-4336-8A36-7CD85DCA0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315983"/>
        <c:axId val="2127317423"/>
      </c:lineChart>
      <c:catAx>
        <c:axId val="2127315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17423"/>
        <c:crosses val="autoZero"/>
        <c:auto val="1"/>
        <c:lblAlgn val="ctr"/>
        <c:lblOffset val="100"/>
        <c:noMultiLvlLbl val="0"/>
      </c:catAx>
      <c:valAx>
        <c:axId val="21273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13188</xdr:colOff>
      <xdr:row>0</xdr:row>
      <xdr:rowOff>48357</xdr:rowOff>
    </xdr:from>
    <xdr:to>
      <xdr:col>24</xdr:col>
      <xdr:colOff>-1</xdr:colOff>
      <xdr:row>14</xdr:row>
      <xdr:rowOff>43961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CADD2D-C640-02AC-C54D-57C7D5B0E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8A4C-8C28-4B2D-9A07-5C890047D1AE}">
  <dimension ref="A1:P23"/>
  <sheetViews>
    <sheetView tabSelected="1" zoomScale="80" zoomScaleNormal="120" workbookViewId="0">
      <selection activeCell="K21" sqref="K21"/>
    </sheetView>
  </sheetViews>
  <sheetFormatPr defaultRowHeight="14.4" x14ac:dyDescent="0.3"/>
  <cols>
    <col min="8" max="8" width="14.59765625" style="1" customWidth="1"/>
    <col min="15" max="15" width="13.09765625" customWidth="1"/>
    <col min="16" max="16" width="11.5" customWidth="1"/>
  </cols>
  <sheetData>
    <row r="1" spans="1:1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s="1" t="s">
        <v>6</v>
      </c>
      <c r="I1">
        <f t="array" ref="I1:M5">MMULT(TRANSPOSE(A2:F21),A2:F21)</f>
        <v>20</v>
      </c>
      <c r="J1">
        <v>50.839999999999996</v>
      </c>
      <c r="K1">
        <v>435.64000000000004</v>
      </c>
      <c r="L1">
        <v>11.029999999999998</v>
      </c>
      <c r="M1">
        <v>282</v>
      </c>
      <c r="O1" s="1" t="s">
        <v>10</v>
      </c>
      <c r="P1" s="1" t="s">
        <v>11</v>
      </c>
    </row>
    <row r="2" spans="1:16" x14ac:dyDescent="0.3">
      <c r="A2">
        <v>1</v>
      </c>
      <c r="B2">
        <v>2.93</v>
      </c>
      <c r="C2">
        <v>11.21</v>
      </c>
      <c r="D2">
        <v>0.53</v>
      </c>
      <c r="E2">
        <v>1</v>
      </c>
      <c r="F2">
        <v>0.04</v>
      </c>
      <c r="I2">
        <v>50.839999999999996</v>
      </c>
      <c r="J2">
        <v>228.66939999999994</v>
      </c>
      <c r="K2">
        <v>991.42409999999995</v>
      </c>
      <c r="L2">
        <v>26.494300000000003</v>
      </c>
      <c r="M2">
        <v>653.90499999999997</v>
      </c>
      <c r="O2">
        <f>$L$13+$L$14*B2+$L$15*C2+$L$16*D2+$L$17*E2</f>
        <v>-2.9873653592703917</v>
      </c>
      <c r="P2">
        <f>POWER(F2-O2,2)</f>
        <v>9.1649410185103477</v>
      </c>
    </row>
    <row r="3" spans="1:16" x14ac:dyDescent="0.3">
      <c r="A3">
        <v>1</v>
      </c>
      <c r="B3">
        <v>0.13</v>
      </c>
      <c r="C3">
        <v>63.46</v>
      </c>
      <c r="D3">
        <v>0.18</v>
      </c>
      <c r="E3">
        <v>2</v>
      </c>
      <c r="F3">
        <v>2.0699999999999998</v>
      </c>
      <c r="I3">
        <v>435.64000000000004</v>
      </c>
      <c r="J3">
        <v>991.42409999999995</v>
      </c>
      <c r="K3">
        <v>15643.789200000005</v>
      </c>
      <c r="L3">
        <v>222.99349999999998</v>
      </c>
      <c r="M3">
        <v>5454.42</v>
      </c>
      <c r="O3">
        <f t="shared" ref="O3:O21" si="0">$L$13+$L$14*B3+$L$15*C3+$L$16*D3+$L$17*E3</f>
        <v>2.2190383499989954</v>
      </c>
      <c r="P3">
        <f t="shared" ref="P3:P21" si="1">POWER(F3-O3,2)</f>
        <v>2.2212429770423103E-2</v>
      </c>
    </row>
    <row r="4" spans="1:16" x14ac:dyDescent="0.3">
      <c r="A4">
        <v>1</v>
      </c>
      <c r="B4">
        <v>1</v>
      </c>
      <c r="C4">
        <v>48.25</v>
      </c>
      <c r="D4">
        <v>0.35</v>
      </c>
      <c r="E4">
        <v>4</v>
      </c>
      <c r="F4">
        <v>4.18</v>
      </c>
      <c r="I4">
        <v>11.029999999999998</v>
      </c>
      <c r="J4">
        <v>26.494300000000003</v>
      </c>
      <c r="K4">
        <v>222.99349999999998</v>
      </c>
      <c r="L4">
        <v>7.5642999999999985</v>
      </c>
      <c r="M4">
        <v>172.33999999999997</v>
      </c>
      <c r="O4">
        <f t="shared" si="0"/>
        <v>5.0509863555099717</v>
      </c>
      <c r="P4">
        <f t="shared" si="1"/>
        <v>0.75861723148454319</v>
      </c>
    </row>
    <row r="5" spans="1:16" x14ac:dyDescent="0.3">
      <c r="A5">
        <v>1</v>
      </c>
      <c r="B5">
        <v>3.93</v>
      </c>
      <c r="C5">
        <v>21.56</v>
      </c>
      <c r="D5">
        <v>0.43</v>
      </c>
      <c r="E5">
        <v>4</v>
      </c>
      <c r="F5">
        <v>4.63</v>
      </c>
      <c r="I5">
        <v>282</v>
      </c>
      <c r="J5">
        <v>653.90499999999997</v>
      </c>
      <c r="K5">
        <v>5454.42</v>
      </c>
      <c r="L5">
        <v>172.33999999999997</v>
      </c>
      <c r="M5">
        <v>5725.5</v>
      </c>
      <c r="O5">
        <f t="shared" si="0"/>
        <v>3.0460183749668479</v>
      </c>
      <c r="P5">
        <f t="shared" si="1"/>
        <v>2.5089977884426649</v>
      </c>
    </row>
    <row r="6" spans="1:16" x14ac:dyDescent="0.3">
      <c r="A6">
        <v>1</v>
      </c>
      <c r="B6">
        <v>0.45</v>
      </c>
      <c r="C6">
        <v>3</v>
      </c>
      <c r="D6">
        <v>0.48</v>
      </c>
      <c r="E6">
        <v>5</v>
      </c>
      <c r="F6">
        <v>6.57</v>
      </c>
      <c r="O6">
        <f t="shared" si="0"/>
        <v>5.9714004461542274</v>
      </c>
      <c r="P6">
        <f t="shared" si="1"/>
        <v>0.35832142586435839</v>
      </c>
    </row>
    <row r="7" spans="1:16" x14ac:dyDescent="0.3">
      <c r="A7">
        <v>1</v>
      </c>
      <c r="B7">
        <v>3.58</v>
      </c>
      <c r="C7">
        <v>11.13</v>
      </c>
      <c r="D7">
        <v>0.24</v>
      </c>
      <c r="E7">
        <v>5</v>
      </c>
      <c r="F7">
        <v>6.91</v>
      </c>
      <c r="H7" s="1" t="s">
        <v>7</v>
      </c>
      <c r="I7">
        <f t="array" ref="I7:M11">MINVERSE(I1:M5)</f>
        <v>0.64114457070884145</v>
      </c>
      <c r="J7">
        <v>-4.4549650114809818E-2</v>
      </c>
      <c r="K7">
        <v>-6.4316451660924381E-3</v>
      </c>
      <c r="L7">
        <v>-0.39880209109482428</v>
      </c>
      <c r="M7">
        <v>-8.3592845298137586E-3</v>
      </c>
      <c r="O7">
        <f t="shared" si="0"/>
        <v>5.4794413715597639</v>
      </c>
      <c r="P7">
        <f t="shared" si="1"/>
        <v>2.0464979894048101</v>
      </c>
    </row>
    <row r="8" spans="1:16" x14ac:dyDescent="0.3">
      <c r="A8">
        <v>1</v>
      </c>
      <c r="B8">
        <v>1.95</v>
      </c>
      <c r="C8">
        <v>44.38</v>
      </c>
      <c r="D8">
        <v>0.9</v>
      </c>
      <c r="E8">
        <v>7</v>
      </c>
      <c r="F8">
        <v>9.23</v>
      </c>
      <c r="I8">
        <v>-4.4549650114809811E-2</v>
      </c>
      <c r="J8">
        <v>1.078653632977843E-2</v>
      </c>
      <c r="K8">
        <v>2.7590140774220193E-4</v>
      </c>
      <c r="L8">
        <v>9.9007508855368902E-3</v>
      </c>
      <c r="M8">
        <v>4.0144157359566093E-4</v>
      </c>
      <c r="O8">
        <f t="shared" si="0"/>
        <v>9.0425435495602287</v>
      </c>
      <c r="P8">
        <f t="shared" si="1"/>
        <v>3.5139920811478612E-2</v>
      </c>
    </row>
    <row r="9" spans="1:16" x14ac:dyDescent="0.3">
      <c r="A9">
        <v>1</v>
      </c>
      <c r="B9">
        <v>3.81</v>
      </c>
      <c r="C9">
        <v>5.5</v>
      </c>
      <c r="D9">
        <v>0.61</v>
      </c>
      <c r="E9">
        <v>9</v>
      </c>
      <c r="F9">
        <v>11.4</v>
      </c>
      <c r="I9">
        <v>-6.4316451660924364E-3</v>
      </c>
      <c r="J9">
        <v>2.7590140774220187E-4</v>
      </c>
      <c r="K9">
        <v>1.7952725712763344E-4</v>
      </c>
      <c r="L9">
        <v>1.6447899039775103E-3</v>
      </c>
      <c r="M9">
        <v>6.4733293674755404E-5</v>
      </c>
      <c r="O9">
        <f t="shared" si="0"/>
        <v>12.213763941518863</v>
      </c>
      <c r="P9">
        <f t="shared" si="1"/>
        <v>0.66221175251631492</v>
      </c>
    </row>
    <row r="10" spans="1:16" x14ac:dyDescent="0.3">
      <c r="A10">
        <v>1</v>
      </c>
      <c r="B10">
        <v>5.71</v>
      </c>
      <c r="C10">
        <v>42.28</v>
      </c>
      <c r="D10">
        <v>0.83</v>
      </c>
      <c r="E10">
        <v>9.5</v>
      </c>
      <c r="F10">
        <v>12.04</v>
      </c>
      <c r="I10">
        <v>-0.39880209109482384</v>
      </c>
      <c r="J10">
        <v>9.9007508855368468E-3</v>
      </c>
      <c r="K10">
        <v>1.6447899039775074E-3</v>
      </c>
      <c r="L10">
        <v>0.7781298648332905</v>
      </c>
      <c r="M10">
        <v>-6.4773795602984727E-3</v>
      </c>
      <c r="O10">
        <f t="shared" si="0"/>
        <v>12.58154827798251</v>
      </c>
      <c r="P10">
        <f t="shared" si="1"/>
        <v>0.29327453738582243</v>
      </c>
    </row>
    <row r="11" spans="1:16" x14ac:dyDescent="0.3">
      <c r="A11">
        <v>1</v>
      </c>
      <c r="B11">
        <v>5.64</v>
      </c>
      <c r="C11">
        <v>18.11</v>
      </c>
      <c r="D11">
        <v>0.09</v>
      </c>
      <c r="E11">
        <v>11</v>
      </c>
      <c r="F11">
        <v>16.75</v>
      </c>
      <c r="I11">
        <v>-8.359284529813776E-3</v>
      </c>
      <c r="J11">
        <v>4.0144157359566239E-4</v>
      </c>
      <c r="K11">
        <v>6.4733293674755621E-5</v>
      </c>
      <c r="L11">
        <v>-6.4773795602984597E-3</v>
      </c>
      <c r="M11">
        <v>6.7383505492302654E-4</v>
      </c>
      <c r="O11">
        <f t="shared" si="0"/>
        <v>17.098462726583833</v>
      </c>
      <c r="P11">
        <f t="shared" si="1"/>
        <v>0.12142627181823895</v>
      </c>
    </row>
    <row r="12" spans="1:16" x14ac:dyDescent="0.3">
      <c r="A12">
        <v>1</v>
      </c>
      <c r="B12">
        <v>0.2</v>
      </c>
      <c r="C12">
        <v>7.62</v>
      </c>
      <c r="D12">
        <v>0.33</v>
      </c>
      <c r="E12">
        <v>16</v>
      </c>
      <c r="F12">
        <v>24.55</v>
      </c>
      <c r="O12">
        <f t="shared" si="0"/>
        <v>28.452671507716108</v>
      </c>
      <c r="P12">
        <f t="shared" si="1"/>
        <v>15.230844897139113</v>
      </c>
    </row>
    <row r="13" spans="1:16" x14ac:dyDescent="0.3">
      <c r="A13">
        <v>1</v>
      </c>
      <c r="B13">
        <v>5.41</v>
      </c>
      <c r="C13">
        <v>11.73</v>
      </c>
      <c r="D13">
        <v>0.28999999999999998</v>
      </c>
      <c r="E13">
        <v>18</v>
      </c>
      <c r="F13">
        <v>27.64</v>
      </c>
      <c r="H13" s="1" t="s">
        <v>8</v>
      </c>
      <c r="I13">
        <f t="array" ref="I13:I17">MMULT(TRANSPOSE(A2:E21),F2:F21)</f>
        <v>467.71999999999997</v>
      </c>
      <c r="K13" s="1" t="s">
        <v>9</v>
      </c>
      <c r="L13">
        <f t="array" ref="L13:L17">MMULT(I7:M11,I13:I17)</f>
        <v>-2.5405399876210311</v>
      </c>
      <c r="O13">
        <f t="shared" si="0"/>
        <v>30.437149817828164</v>
      </c>
      <c r="P13">
        <f t="shared" si="1"/>
        <v>7.8240471033761283</v>
      </c>
    </row>
    <row r="14" spans="1:16" x14ac:dyDescent="0.3">
      <c r="A14">
        <v>1</v>
      </c>
      <c r="B14">
        <v>7.56</v>
      </c>
      <c r="C14">
        <v>13.85</v>
      </c>
      <c r="D14">
        <v>0.55000000000000004</v>
      </c>
      <c r="E14">
        <v>18</v>
      </c>
      <c r="F14">
        <v>29.64</v>
      </c>
      <c r="I14">
        <v>1023.8301</v>
      </c>
      <c r="L14">
        <v>-0.41974281658067092</v>
      </c>
      <c r="O14">
        <f t="shared" si="0"/>
        <v>28.872762605887885</v>
      </c>
      <c r="P14">
        <f t="shared" si="1"/>
        <v>0.58865321892394906</v>
      </c>
    </row>
    <row r="15" spans="1:16" x14ac:dyDescent="0.3">
      <c r="A15">
        <v>1</v>
      </c>
      <c r="B15">
        <v>1.0900000000000001</v>
      </c>
      <c r="C15">
        <v>22.54</v>
      </c>
      <c r="D15">
        <v>0.94</v>
      </c>
      <c r="E15">
        <v>20</v>
      </c>
      <c r="F15">
        <v>32.9</v>
      </c>
      <c r="I15">
        <v>9043.8549000000003</v>
      </c>
      <c r="L15">
        <v>2.0899758723689654E-2</v>
      </c>
      <c r="O15">
        <f t="shared" si="0"/>
        <v>34.687532957624349</v>
      </c>
      <c r="P15">
        <f t="shared" si="1"/>
        <v>3.1952740745932569</v>
      </c>
    </row>
    <row r="16" spans="1:16" x14ac:dyDescent="0.3">
      <c r="A16">
        <v>1</v>
      </c>
      <c r="B16">
        <v>0.76</v>
      </c>
      <c r="C16">
        <v>7.01</v>
      </c>
      <c r="D16">
        <v>0.94</v>
      </c>
      <c r="E16">
        <v>20</v>
      </c>
      <c r="F16">
        <v>33.520000000000003</v>
      </c>
      <c r="I16">
        <v>287.65010000000001</v>
      </c>
      <c r="L16">
        <v>-2.7163370953309993</v>
      </c>
      <c r="O16">
        <f t="shared" si="0"/>
        <v>34.501474834117069</v>
      </c>
      <c r="P16">
        <f t="shared" si="1"/>
        <v>0.96329285000512144</v>
      </c>
    </row>
    <row r="17" spans="1:16" x14ac:dyDescent="0.3">
      <c r="A17">
        <v>1</v>
      </c>
      <c r="B17">
        <v>0.42</v>
      </c>
      <c r="C17">
        <v>3.1</v>
      </c>
      <c r="D17">
        <v>0.94</v>
      </c>
      <c r="E17">
        <v>20</v>
      </c>
      <c r="F17">
        <v>33.75</v>
      </c>
      <c r="I17">
        <v>10039.504999999999</v>
      </c>
      <c r="L17">
        <v>1.9883934461648742</v>
      </c>
      <c r="O17">
        <f t="shared" si="0"/>
        <v>34.562469335144868</v>
      </c>
      <c r="P17">
        <f t="shared" si="1"/>
        <v>0.66010642055074453</v>
      </c>
    </row>
    <row r="18" spans="1:16" x14ac:dyDescent="0.3">
      <c r="A18">
        <v>1</v>
      </c>
      <c r="B18">
        <v>4.25</v>
      </c>
      <c r="C18">
        <v>14.45</v>
      </c>
      <c r="D18">
        <v>0.84</v>
      </c>
      <c r="E18">
        <v>25</v>
      </c>
      <c r="F18">
        <v>42.89</v>
      </c>
      <c r="O18">
        <f t="shared" si="0"/>
        <v>43.405667549512252</v>
      </c>
      <c r="P18">
        <f t="shared" si="1"/>
        <v>0.26591302161997021</v>
      </c>
    </row>
    <row r="19" spans="1:16" x14ac:dyDescent="0.3">
      <c r="A19">
        <v>1</v>
      </c>
      <c r="B19">
        <v>0.76</v>
      </c>
      <c r="C19">
        <v>50.46</v>
      </c>
      <c r="D19">
        <v>0.43</v>
      </c>
      <c r="E19">
        <v>26</v>
      </c>
      <c r="F19">
        <v>48.87</v>
      </c>
      <c r="O19">
        <f t="shared" si="0"/>
        <v>48.725261946269441</v>
      </c>
      <c r="P19">
        <f t="shared" si="1"/>
        <v>2.094910419770939E-2</v>
      </c>
    </row>
    <row r="20" spans="1:16" x14ac:dyDescent="0.3">
      <c r="A20">
        <v>1</v>
      </c>
      <c r="B20">
        <v>0.76</v>
      </c>
      <c r="C20">
        <v>24.8</v>
      </c>
      <c r="D20">
        <v>0.34</v>
      </c>
      <c r="E20">
        <v>30</v>
      </c>
      <c r="F20">
        <v>58.45</v>
      </c>
      <c r="O20">
        <f t="shared" si="0"/>
        <v>56.387018260658849</v>
      </c>
      <c r="P20">
        <f t="shared" si="1"/>
        <v>4.2558936568550543</v>
      </c>
    </row>
    <row r="21" spans="1:16" x14ac:dyDescent="0.3">
      <c r="A21">
        <v>1</v>
      </c>
      <c r="B21">
        <v>0.5</v>
      </c>
      <c r="C21">
        <v>11.2</v>
      </c>
      <c r="D21">
        <v>0.79</v>
      </c>
      <c r="E21">
        <v>31.5</v>
      </c>
      <c r="F21">
        <v>61.69</v>
      </c>
      <c r="O21">
        <f t="shared" si="0"/>
        <v>57.972153150676007</v>
      </c>
      <c r="P21">
        <f t="shared" si="1"/>
        <v>13.822385195028323</v>
      </c>
    </row>
    <row r="22" spans="1:16" x14ac:dyDescent="0.3">
      <c r="O22" s="1" t="s">
        <v>12</v>
      </c>
      <c r="P22">
        <f>AVERAGE(P2:P21)</f>
        <v>3.1399499954149195</v>
      </c>
    </row>
    <row r="23" spans="1:16" x14ac:dyDescent="0.3">
      <c r="O23" s="1" t="s">
        <v>13</v>
      </c>
      <c r="P23">
        <f>SQRT(P22)</f>
        <v>1.7719904050008057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Minh Nhật</dc:creator>
  <cp:lastModifiedBy>Đỗ Minh Nhật</cp:lastModifiedBy>
  <dcterms:created xsi:type="dcterms:W3CDTF">2025-10-26T02:59:09Z</dcterms:created>
  <dcterms:modified xsi:type="dcterms:W3CDTF">2025-10-27T11:03:14Z</dcterms:modified>
</cp:coreProperties>
</file>