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ocument\Kì 7\ML\"/>
    </mc:Choice>
  </mc:AlternateContent>
  <xr:revisionPtr revIDLastSave="0" documentId="13_ncr:1_{3C733E44-8951-4122-B1B3-40B1D5E8132B}" xr6:coauthVersionLast="47" xr6:coauthVersionMax="47" xr10:uidLastSave="{00000000-0000-0000-0000-000000000000}"/>
  <bookViews>
    <workbookView xWindow="-100" yWindow="-100" windowWidth="21467" windowHeight="11443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2" i="2"/>
  <c r="F5" i="2"/>
  <c r="F3" i="2"/>
  <c r="F4" i="2"/>
  <c r="F2" i="2"/>
  <c r="F1" i="2"/>
  <c r="C3" i="1"/>
  <c r="C4" i="1"/>
  <c r="C5" i="1"/>
  <c r="C6" i="1"/>
  <c r="C7" i="1"/>
  <c r="C8" i="1"/>
  <c r="C9" i="1"/>
  <c r="C10" i="1"/>
  <c r="C11" i="1"/>
  <c r="C2" i="1"/>
  <c r="F5" i="1"/>
  <c r="F4" i="1"/>
  <c r="F3" i="1"/>
  <c r="F2" i="1"/>
  <c r="F1" i="1"/>
  <c r="F6" i="2" l="1"/>
  <c r="F7" i="2" s="1"/>
  <c r="F6" i="1"/>
  <c r="F7" i="1" s="1"/>
</calcChain>
</file>

<file path=xl/sharedStrings.xml><?xml version="1.0" encoding="utf-8"?>
<sst xmlns="http://schemas.openxmlformats.org/spreadsheetml/2006/main" count="20" uniqueCount="12">
  <si>
    <t>x</t>
  </si>
  <si>
    <t>y</t>
  </si>
  <si>
    <t>x standard deviation</t>
  </si>
  <si>
    <t>y standard deviation</t>
  </si>
  <si>
    <t>x mean</t>
  </si>
  <si>
    <t>y mean</t>
  </si>
  <si>
    <t>x&amp;y correlation</t>
  </si>
  <si>
    <t>B1</t>
  </si>
  <si>
    <t>B0</t>
  </si>
  <si>
    <r>
      <t>B</t>
    </r>
    <r>
      <rPr>
        <sz val="8"/>
        <color theme="1"/>
        <rFont val="Calibri"/>
        <family val="2"/>
        <scheme val="minor"/>
      </rPr>
      <t>1</t>
    </r>
  </si>
  <si>
    <r>
      <t>B</t>
    </r>
    <r>
      <rPr>
        <sz val="8"/>
        <color theme="1"/>
        <rFont val="Calibri"/>
        <family val="2"/>
        <scheme val="minor"/>
      </rPr>
      <t>0</t>
    </r>
  </si>
  <si>
    <t>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</si>
</sst>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Simple</a:t>
            </a:r>
            <a:r>
              <a:rPr lang="en-US" baseline="0"/>
              <a:t> Linear Regression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Sheet1!$B$2:$B$11</c:f>
              <c:numCache>
                <c:formatCode>General</c:formatCode>
                <c:ptCount val="10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12</c:v>
                </c:pt>
                <c:pt idx="6">
                  <c:v>13</c:v>
                </c:pt>
                <c:pt idx="7">
                  <c:v>15</c:v>
                </c:pt>
                <c:pt idx="8">
                  <c:v>18</c:v>
                </c:pt>
                <c:pt idx="9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7C-47C2-AFA4-23E0A9B950B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ŷ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Sheet1!$C$2:$C$11</c:f>
              <c:numCache>
                <c:formatCode>General</c:formatCode>
                <c:ptCount val="10"/>
                <c:pt idx="0">
                  <c:v>0.81818181818181879</c:v>
                </c:pt>
                <c:pt idx="1">
                  <c:v>2.9030303030303033</c:v>
                </c:pt>
                <c:pt idx="2">
                  <c:v>4.9878787878787882</c:v>
                </c:pt>
                <c:pt idx="3">
                  <c:v>7.0727272727272723</c:v>
                </c:pt>
                <c:pt idx="4">
                  <c:v>9.1575757575757564</c:v>
                </c:pt>
                <c:pt idx="5">
                  <c:v>11.242424242424242</c:v>
                </c:pt>
                <c:pt idx="6">
                  <c:v>13.327272727272726</c:v>
                </c:pt>
                <c:pt idx="7">
                  <c:v>15.41212121212121</c:v>
                </c:pt>
                <c:pt idx="8">
                  <c:v>17.496969696969696</c:v>
                </c:pt>
                <c:pt idx="9">
                  <c:v>19.581818181818178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7C-47C2-AFA4-23E0A9B95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5545503"/>
        <c:axId val="1835545983"/>
      </c:lineChart>
      <c:catAx>
        <c:axId val="18355455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545983"/>
        <c:crosses val="autoZero"/>
        <c:auto val="1"/>
        <c:lblAlgn val="ctr"/>
        <c:lblOffset val="100"/>
        <c:noMultiLvlLbl val="0"/>
      </c:catAx>
      <c:valAx>
        <c:axId val="1835545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545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Simple</a:t>
            </a:r>
            <a:r>
              <a:rPr lang="en-US" baseline="0"/>
              <a:t> Linear Regression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Sheet2!$B$2:$B$14</c:f>
              <c:numCache>
                <c:formatCode>General</c:formatCode>
                <c:ptCount val="13"/>
                <c:pt idx="0">
                  <c:v>1.49</c:v>
                </c:pt>
                <c:pt idx="1">
                  <c:v>1.5</c:v>
                </c:pt>
                <c:pt idx="2">
                  <c:v>1.51</c:v>
                </c:pt>
                <c:pt idx="3">
                  <c:v>1.54</c:v>
                </c:pt>
                <c:pt idx="4">
                  <c:v>1.58</c:v>
                </c:pt>
                <c:pt idx="5">
                  <c:v>1.59</c:v>
                </c:pt>
                <c:pt idx="6">
                  <c:v>1.6</c:v>
                </c:pt>
                <c:pt idx="7">
                  <c:v>1.62</c:v>
                </c:pt>
                <c:pt idx="8">
                  <c:v>1.63</c:v>
                </c:pt>
                <c:pt idx="9">
                  <c:v>1.64</c:v>
                </c:pt>
                <c:pt idx="10">
                  <c:v>1.66</c:v>
                </c:pt>
                <c:pt idx="11">
                  <c:v>1.67</c:v>
                </c:pt>
                <c:pt idx="12">
                  <c:v>1.68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9E-4CF4-841E-05C11C9FCB5B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ŷ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Sheet2!$C$2:$C$14</c:f>
              <c:numCache>
                <c:formatCode>General</c:formatCode>
                <c:ptCount val="13"/>
                <c:pt idx="0">
                  <c:v>1.4846771919932338</c:v>
                </c:pt>
                <c:pt idx="1">
                  <c:v>1.5014533408514237</c:v>
                </c:pt>
                <c:pt idx="2">
                  <c:v>1.5182294897096138</c:v>
                </c:pt>
                <c:pt idx="3">
                  <c:v>1.5461897378065972</c:v>
                </c:pt>
                <c:pt idx="4">
                  <c:v>1.5741499859035804</c:v>
                </c:pt>
                <c:pt idx="5">
                  <c:v>1.5853340851423738</c:v>
                </c:pt>
                <c:pt idx="6">
                  <c:v>1.602110234000564</c:v>
                </c:pt>
                <c:pt idx="7">
                  <c:v>1.6132943332393572</c:v>
                </c:pt>
                <c:pt idx="8">
                  <c:v>1.6300704820975471</c:v>
                </c:pt>
                <c:pt idx="9">
                  <c:v>1.6412545813363404</c:v>
                </c:pt>
                <c:pt idx="10">
                  <c:v>1.6580307301945305</c:v>
                </c:pt>
                <c:pt idx="11">
                  <c:v>1.669214829433324</c:v>
                </c:pt>
                <c:pt idx="12">
                  <c:v>1.6859909782915139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9E-4CF4-841E-05C11C9FCB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9655839"/>
        <c:axId val="1759656799"/>
      </c:lineChart>
      <c:catAx>
        <c:axId val="17596558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656799"/>
        <c:crosses val="autoZero"/>
        <c:auto val="1"/>
        <c:lblAlgn val="ctr"/>
        <c:lblOffset val="100"/>
        <c:noMultiLvlLbl val="0"/>
      </c:catAx>
      <c:valAx>
        <c:axId val="175965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655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618389</xdr:colOff>
      <xdr:row>0</xdr:row>
      <xdr:rowOff>14654</xdr:rowOff>
    </xdr:from>
    <xdr:to>
      <xdr:col>14</xdr:col>
      <xdr:colOff>11722</xdr:colOff>
      <xdr:row>13</xdr:row>
      <xdr:rowOff>5862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37E4FB-FC51-8AA8-A086-6CA6E0F4BD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8792</xdr:colOff>
      <xdr:row>0</xdr:row>
      <xdr:rowOff>8792</xdr:rowOff>
    </xdr:from>
    <xdr:to>
      <xdr:col>14</xdr:col>
      <xdr:colOff>5861</xdr:colOff>
      <xdr:row>13</xdr:row>
      <xdr:rowOff>11723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6EBB33-2ED1-6377-0A4D-D0E739CDF4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zoomScale="120" zoomScaleNormal="120" workbookViewId="0">
      <selection activeCell="C1" sqref="C1:C2"/>
    </sheetView>
  </sheetViews>
  <sheetFormatPr defaultRowHeight="14.4" x14ac:dyDescent="0.3"/>
  <cols>
    <col min="3" max="3" width="12.3984375" customWidth="1"/>
    <col min="5" max="5" width="17.8984375" customWidth="1"/>
  </cols>
  <sheetData>
    <row r="1" spans="1:6" ht="16.100000000000001" x14ac:dyDescent="0.35">
      <c r="A1" s="3" t="s">
        <v>0</v>
      </c>
      <c r="B1" s="3" t="s">
        <v>1</v>
      </c>
      <c r="C1" s="3" t="s">
        <v>11</v>
      </c>
      <c r="E1" s="2" t="s">
        <v>2</v>
      </c>
      <c r="F1" s="2">
        <f>STDEV(A2:A11)</f>
        <v>3.0276503540974917</v>
      </c>
    </row>
    <row r="2" spans="1:6" x14ac:dyDescent="0.3">
      <c r="A2" s="1">
        <v>1</v>
      </c>
      <c r="B2" s="1">
        <v>2</v>
      </c>
      <c r="C2" s="1">
        <f>$F$7+$F$6*$A2</f>
        <v>0.81818181818181879</v>
      </c>
      <c r="E2" s="2" t="s">
        <v>3</v>
      </c>
      <c r="F2" s="2">
        <f>STDEV(B2:B11)</f>
        <v>6.3909658459769938</v>
      </c>
    </row>
    <row r="3" spans="1:6" x14ac:dyDescent="0.3">
      <c r="A3" s="1">
        <v>2</v>
      </c>
      <c r="B3" s="1">
        <v>4</v>
      </c>
      <c r="C3" s="1">
        <f t="shared" ref="C3:C11" si="0">$F$7+$F$6*$A3</f>
        <v>2.9030303030303033</v>
      </c>
      <c r="E3" s="2" t="s">
        <v>4</v>
      </c>
      <c r="F3" s="2">
        <f>AVERAGE(A2:A11)</f>
        <v>5.5</v>
      </c>
    </row>
    <row r="4" spans="1:6" x14ac:dyDescent="0.3">
      <c r="A4" s="1">
        <v>3</v>
      </c>
      <c r="B4" s="1">
        <v>3</v>
      </c>
      <c r="C4" s="1">
        <f t="shared" si="0"/>
        <v>4.9878787878787882</v>
      </c>
      <c r="E4" s="2" t="s">
        <v>5</v>
      </c>
      <c r="F4" s="2">
        <f>AVERAGE(B2:B11)</f>
        <v>10.199999999999999</v>
      </c>
    </row>
    <row r="5" spans="1:6" x14ac:dyDescent="0.3">
      <c r="A5" s="1">
        <v>4</v>
      </c>
      <c r="B5" s="1">
        <v>6</v>
      </c>
      <c r="C5" s="1">
        <f t="shared" si="0"/>
        <v>7.0727272727272723</v>
      </c>
      <c r="E5" s="2" t="s">
        <v>6</v>
      </c>
      <c r="F5" s="2">
        <f>CORREL(A2:A11,B2:B11)</f>
        <v>0.98767422726324727</v>
      </c>
    </row>
    <row r="6" spans="1:6" x14ac:dyDescent="0.3">
      <c r="A6" s="1">
        <v>5</v>
      </c>
      <c r="B6" s="1">
        <v>9</v>
      </c>
      <c r="C6" s="1">
        <f t="shared" si="0"/>
        <v>9.1575757575757564</v>
      </c>
      <c r="E6" s="2" t="s">
        <v>9</v>
      </c>
      <c r="F6" s="2">
        <f>F5*(F2/F1)</f>
        <v>2.0848484848484845</v>
      </c>
    </row>
    <row r="7" spans="1:6" x14ac:dyDescent="0.3">
      <c r="A7" s="1">
        <v>6</v>
      </c>
      <c r="B7" s="1">
        <v>12</v>
      </c>
      <c r="C7" s="1">
        <f t="shared" si="0"/>
        <v>11.242424242424242</v>
      </c>
      <c r="E7" s="2" t="s">
        <v>10</v>
      </c>
      <c r="F7" s="2">
        <f>F4-F6*F3</f>
        <v>-1.2666666666666657</v>
      </c>
    </row>
    <row r="8" spans="1:6" x14ac:dyDescent="0.3">
      <c r="A8" s="1">
        <v>7</v>
      </c>
      <c r="B8" s="1">
        <v>13</v>
      </c>
      <c r="C8" s="1">
        <f t="shared" si="0"/>
        <v>13.327272727272726</v>
      </c>
    </row>
    <row r="9" spans="1:6" x14ac:dyDescent="0.3">
      <c r="A9" s="1">
        <v>8</v>
      </c>
      <c r="B9" s="1">
        <v>15</v>
      </c>
      <c r="C9" s="1">
        <f t="shared" si="0"/>
        <v>15.41212121212121</v>
      </c>
    </row>
    <row r="10" spans="1:6" x14ac:dyDescent="0.3">
      <c r="A10" s="1">
        <v>9</v>
      </c>
      <c r="B10" s="1">
        <v>18</v>
      </c>
      <c r="C10" s="1">
        <f t="shared" si="0"/>
        <v>17.496969696969696</v>
      </c>
    </row>
    <row r="11" spans="1:6" x14ac:dyDescent="0.3">
      <c r="A11" s="1">
        <v>10</v>
      </c>
      <c r="B11" s="1">
        <v>20</v>
      </c>
      <c r="C11" s="1">
        <f t="shared" si="0"/>
        <v>19.581818181818178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D0489-96D9-4B6B-83B1-1BAC7FA343C4}">
  <dimension ref="A1:F14"/>
  <sheetViews>
    <sheetView tabSelected="1" zoomScale="120" zoomScaleNormal="120" workbookViewId="0">
      <selection activeCell="G9" sqref="G9"/>
    </sheetView>
  </sheetViews>
  <sheetFormatPr defaultRowHeight="14.4" x14ac:dyDescent="0.3"/>
  <cols>
    <col min="3" max="3" width="11.5" customWidth="1"/>
    <col min="5" max="5" width="17.8984375" customWidth="1"/>
    <col min="6" max="6" width="10.5" customWidth="1"/>
  </cols>
  <sheetData>
    <row r="1" spans="1:6" ht="16.100000000000001" x14ac:dyDescent="0.35">
      <c r="A1" s="3" t="s">
        <v>0</v>
      </c>
      <c r="B1" s="3" t="s">
        <v>1</v>
      </c>
      <c r="C1" s="3" t="s">
        <v>11</v>
      </c>
      <c r="E1" s="2" t="s">
        <v>2</v>
      </c>
      <c r="F1" s="2">
        <f>STDEV(A2:A14)</f>
        <v>5.840014488917749</v>
      </c>
    </row>
    <row r="2" spans="1:6" x14ac:dyDescent="0.3">
      <c r="A2" s="1">
        <v>73.5</v>
      </c>
      <c r="B2" s="1">
        <v>1.49</v>
      </c>
      <c r="C2" s="1">
        <f>$F$7+$F$6*$A2</f>
        <v>1.4846771919932338</v>
      </c>
      <c r="E2" s="2" t="s">
        <v>3</v>
      </c>
      <c r="F2" s="2">
        <f>STDEV(B2:B14)</f>
        <v>6.5496134158769898E-2</v>
      </c>
    </row>
    <row r="3" spans="1:6" x14ac:dyDescent="0.3">
      <c r="A3" s="1">
        <v>75</v>
      </c>
      <c r="B3" s="1">
        <v>1.5</v>
      </c>
      <c r="C3" s="1">
        <f t="shared" ref="C3:C14" si="0">$F$7+$F$6*$A3</f>
        <v>1.5014533408514237</v>
      </c>
      <c r="E3" s="2" t="s">
        <v>4</v>
      </c>
      <c r="F3" s="2">
        <f>AVERAGE(A2:A14)</f>
        <v>83.192307692307693</v>
      </c>
    </row>
    <row r="4" spans="1:6" x14ac:dyDescent="0.3">
      <c r="A4" s="1">
        <v>76.5</v>
      </c>
      <c r="B4" s="1">
        <v>1.51</v>
      </c>
      <c r="C4" s="1">
        <f t="shared" si="0"/>
        <v>1.5182294897096138</v>
      </c>
      <c r="E4" s="2" t="s">
        <v>5</v>
      </c>
      <c r="F4" s="2">
        <f>AVERAGE(B2:B14)</f>
        <v>1.5930769230769231</v>
      </c>
    </row>
    <row r="5" spans="1:6" x14ac:dyDescent="0.3">
      <c r="A5" s="1">
        <v>79</v>
      </c>
      <c r="B5" s="1">
        <v>1.54</v>
      </c>
      <c r="C5" s="1">
        <f t="shared" si="0"/>
        <v>1.5461897378065972</v>
      </c>
      <c r="E5" s="2" t="s">
        <v>6</v>
      </c>
      <c r="F5" s="2">
        <f>CORREL(A2:A14,B2:B14)</f>
        <v>0.99723903462325769</v>
      </c>
    </row>
    <row r="6" spans="1:6" x14ac:dyDescent="0.3">
      <c r="A6" s="1">
        <v>81.5</v>
      </c>
      <c r="B6" s="1">
        <v>1.58</v>
      </c>
      <c r="C6" s="1">
        <f t="shared" si="0"/>
        <v>1.5741499859035804</v>
      </c>
      <c r="E6" s="2" t="s">
        <v>7</v>
      </c>
      <c r="F6" s="2">
        <f>F5*(F2/F1)</f>
        <v>1.1184099238793339E-2</v>
      </c>
    </row>
    <row r="7" spans="1:6" x14ac:dyDescent="0.3">
      <c r="A7" s="1">
        <v>82.5</v>
      </c>
      <c r="B7" s="1">
        <v>1.59</v>
      </c>
      <c r="C7" s="1">
        <f t="shared" si="0"/>
        <v>1.5853340851423738</v>
      </c>
      <c r="E7" s="2" t="s">
        <v>8</v>
      </c>
      <c r="F7" s="2">
        <f>F4-F6*F3</f>
        <v>0.66264589794192341</v>
      </c>
    </row>
    <row r="8" spans="1:6" x14ac:dyDescent="0.3">
      <c r="A8" s="1">
        <v>84</v>
      </c>
      <c r="B8" s="1">
        <v>1.6</v>
      </c>
      <c r="C8" s="1">
        <f t="shared" si="0"/>
        <v>1.602110234000564</v>
      </c>
    </row>
    <row r="9" spans="1:6" x14ac:dyDescent="0.3">
      <c r="A9" s="1">
        <v>85</v>
      </c>
      <c r="B9" s="1">
        <v>1.62</v>
      </c>
      <c r="C9" s="1">
        <f t="shared" si="0"/>
        <v>1.6132943332393572</v>
      </c>
    </row>
    <row r="10" spans="1:6" x14ac:dyDescent="0.3">
      <c r="A10" s="1">
        <v>86.5</v>
      </c>
      <c r="B10" s="1">
        <v>1.63</v>
      </c>
      <c r="C10" s="1">
        <f t="shared" si="0"/>
        <v>1.6300704820975471</v>
      </c>
    </row>
    <row r="11" spans="1:6" x14ac:dyDescent="0.3">
      <c r="A11" s="1">
        <v>87.5</v>
      </c>
      <c r="B11" s="1">
        <v>1.64</v>
      </c>
      <c r="C11" s="1">
        <f t="shared" si="0"/>
        <v>1.6412545813363404</v>
      </c>
    </row>
    <row r="12" spans="1:6" x14ac:dyDescent="0.3">
      <c r="A12" s="1">
        <v>89</v>
      </c>
      <c r="B12" s="1">
        <v>1.66</v>
      </c>
      <c r="C12" s="1">
        <f t="shared" si="0"/>
        <v>1.6580307301945305</v>
      </c>
    </row>
    <row r="13" spans="1:6" x14ac:dyDescent="0.3">
      <c r="A13" s="1">
        <v>90</v>
      </c>
      <c r="B13" s="1">
        <v>1.67</v>
      </c>
      <c r="C13" s="1">
        <f t="shared" si="0"/>
        <v>1.669214829433324</v>
      </c>
    </row>
    <row r="14" spans="1:6" x14ac:dyDescent="0.3">
      <c r="A14" s="1">
        <v>91.5</v>
      </c>
      <c r="B14" s="1">
        <v>1.68</v>
      </c>
      <c r="C14" s="1">
        <f t="shared" si="0"/>
        <v>1.6859909782915139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Minh Nhật</dc:creator>
  <cp:lastModifiedBy>Đỗ Minh Nhật</cp:lastModifiedBy>
  <dcterms:created xsi:type="dcterms:W3CDTF">2015-06-05T18:17:20Z</dcterms:created>
  <dcterms:modified xsi:type="dcterms:W3CDTF">2025-10-12T04:58:51Z</dcterms:modified>
</cp:coreProperties>
</file>