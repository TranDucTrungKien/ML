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Kì 7\ML\K23_mlba\Sun_26-10\"/>
    </mc:Choice>
  </mc:AlternateContent>
  <xr:revisionPtr revIDLastSave="0" documentId="13_ncr:1_{4F135F1B-4015-40EF-B1EF-D6AE956D600B}" xr6:coauthVersionLast="47" xr6:coauthVersionMax="47" xr10:uidLastSave="{00000000-0000-0000-0000-000000000000}"/>
  <bookViews>
    <workbookView xWindow="-100" yWindow="-100" windowWidth="21467" windowHeight="11443" xr2:uid="{87632224-CC1E-4733-B1BA-FB0B9E8F2B54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P2" i="1" s="1"/>
  <c r="O2" i="1"/>
  <c r="N3" i="1"/>
  <c r="O3" i="1"/>
  <c r="P3" i="1" s="1"/>
  <c r="N4" i="1"/>
  <c r="O4" i="1"/>
  <c r="P4" i="1" s="1"/>
  <c r="N5" i="1"/>
  <c r="O5" i="1"/>
  <c r="P5" i="1"/>
  <c r="N6" i="1"/>
  <c r="P6" i="1" s="1"/>
  <c r="O6" i="1"/>
  <c r="N7" i="1"/>
  <c r="P7" i="1" s="1"/>
  <c r="O7" i="1"/>
  <c r="N8" i="1"/>
  <c r="O8" i="1"/>
  <c r="P8" i="1"/>
  <c r="N9" i="1"/>
  <c r="O9" i="1"/>
  <c r="P9" i="1"/>
  <c r="N10" i="1"/>
  <c r="P10" i="1" s="1"/>
  <c r="O10" i="1"/>
  <c r="N11" i="1"/>
  <c r="P11" i="1" s="1"/>
  <c r="O11" i="1"/>
  <c r="N12" i="1"/>
  <c r="O12" i="1"/>
  <c r="P12" i="1"/>
  <c r="R12" i="1"/>
  <c r="B13" i="1"/>
  <c r="R3" i="1" s="1"/>
  <c r="C13" i="1"/>
  <c r="D13" i="1"/>
  <c r="R11" i="1" s="1"/>
  <c r="E13" i="1"/>
  <c r="R9" i="1" s="1"/>
  <c r="F13" i="1"/>
  <c r="G13" i="1"/>
  <c r="R8" i="1" s="1"/>
  <c r="H13" i="1"/>
  <c r="I13" i="1"/>
  <c r="J13" i="1"/>
  <c r="K13" i="1"/>
  <c r="L13" i="1"/>
  <c r="B14" i="1"/>
  <c r="S4" i="1" s="1"/>
  <c r="C14" i="1"/>
  <c r="S9" i="1" s="1"/>
  <c r="D14" i="1"/>
  <c r="E14" i="1"/>
  <c r="F14" i="1"/>
  <c r="G14" i="1"/>
  <c r="H14" i="1"/>
  <c r="I14" i="1"/>
  <c r="J14" i="1"/>
  <c r="K14" i="1"/>
  <c r="L14" i="1"/>
  <c r="B15" i="1"/>
  <c r="C15" i="1"/>
  <c r="D15" i="1"/>
  <c r="E15" i="1"/>
  <c r="F15" i="1"/>
  <c r="G15" i="1"/>
  <c r="H15" i="1"/>
  <c r="I15" i="1"/>
  <c r="J15" i="1"/>
  <c r="K15" i="1"/>
  <c r="L15" i="1"/>
  <c r="B16" i="1"/>
  <c r="C16" i="1"/>
  <c r="D16" i="1"/>
  <c r="E16" i="1"/>
  <c r="F16" i="1"/>
  <c r="G16" i="1"/>
  <c r="H16" i="1"/>
  <c r="I16" i="1"/>
  <c r="J16" i="1"/>
  <c r="K16" i="1"/>
  <c r="L16" i="1"/>
  <c r="T9" i="1" l="1"/>
  <c r="T12" i="1"/>
  <c r="R5" i="1"/>
  <c r="T5" i="1" s="1"/>
  <c r="S6" i="1"/>
  <c r="S2" i="1"/>
  <c r="R4" i="1"/>
  <c r="T4" i="1" s="1"/>
  <c r="S5" i="1"/>
  <c r="S10" i="1"/>
  <c r="R10" i="1"/>
  <c r="T10" i="1" s="1"/>
  <c r="R6" i="1"/>
  <c r="T6" i="1" s="1"/>
  <c r="R2" i="1"/>
  <c r="T2" i="1" s="1"/>
  <c r="S11" i="1"/>
  <c r="T11" i="1" s="1"/>
  <c r="S7" i="1"/>
  <c r="S3" i="1"/>
  <c r="T3" i="1" s="1"/>
  <c r="R7" i="1"/>
  <c r="S12" i="1"/>
  <c r="S8" i="1"/>
  <c r="T8" i="1" s="1"/>
  <c r="T7" i="1" l="1"/>
</calcChain>
</file>

<file path=xl/sharedStrings.xml><?xml version="1.0" encoding="utf-8"?>
<sst xmlns="http://schemas.openxmlformats.org/spreadsheetml/2006/main" count="33" uniqueCount="32">
  <si>
    <t>V2'</t>
  </si>
  <si>
    <t>V1'</t>
  </si>
  <si>
    <t>V2</t>
  </si>
  <si>
    <t>V1</t>
  </si>
  <si>
    <t>r11</t>
  </si>
  <si>
    <t>r10</t>
  </si>
  <si>
    <t>r9</t>
  </si>
  <si>
    <t>r8</t>
  </si>
  <si>
    <t>r7</t>
  </si>
  <si>
    <t>r6</t>
  </si>
  <si>
    <t>r5</t>
  </si>
  <si>
    <t>r4</t>
  </si>
  <si>
    <t>r3</t>
  </si>
  <si>
    <t>r2</t>
  </si>
  <si>
    <t>r1</t>
  </si>
  <si>
    <t>Cluster</t>
  </si>
  <si>
    <t>Distance_to_V2</t>
  </si>
  <si>
    <t>Distance_to_V1</t>
  </si>
  <si>
    <t>Distance_to_r5</t>
  </si>
  <si>
    <t>Distance_to_r3</t>
  </si>
  <si>
    <t>Value 11</t>
  </si>
  <si>
    <t>Value 10</t>
  </si>
  <si>
    <t>Value 9</t>
  </si>
  <si>
    <t>Value 8</t>
  </si>
  <si>
    <t>Value 7</t>
  </si>
  <si>
    <t>Value 6</t>
  </si>
  <si>
    <t>Value 5</t>
  </si>
  <si>
    <t>Value 4</t>
  </si>
  <si>
    <t>Value 3</t>
  </si>
  <si>
    <t>Value 2</t>
  </si>
  <si>
    <t>Value 1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</si>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</sst>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thin">
        <color indexed="64"/>
      </left>
      <right style="thin">
        <color indexed="64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thin">
        <color indexed="64"/>
      </right>
      <top style="medium">
        <color rgb="FF00B0F0"/>
      </top>
      <bottom style="medium">
        <color rgb="FF00B0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4" fillId="0" borderId="2" xfId="0" applyFont="1" applyBorder="1"/>
    <xf numFmtId="0" fontId="0" fillId="0" borderId="3" xfId="0" applyBorder="1"/>
    <xf numFmtId="0" fontId="4" fillId="0" borderId="3" xfId="0" applyFont="1" applyBorder="1"/>
    <xf numFmtId="0" fontId="1" fillId="0" borderId="3" xfId="0" applyFont="1" applyBorder="1"/>
    <xf numFmtId="0" fontId="0" fillId="0" borderId="4" xfId="0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4" fillId="0" borderId="8" xfId="0" applyFont="1" applyBorder="1"/>
    <xf numFmtId="0" fontId="0" fillId="0" borderId="9" xfId="0" applyBorder="1"/>
    <xf numFmtId="0" fontId="0" fillId="0" borderId="10" xfId="0" applyBorder="1"/>
    <xf numFmtId="0" fontId="4" fillId="0" borderId="11" xfId="0" applyFont="1" applyBorder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23B3-2906-4639-A530-781C9F2AF289}">
  <dimension ref="A1:T16"/>
  <sheetViews>
    <sheetView tabSelected="1" zoomScale="120" zoomScaleNormal="120" workbookViewId="0">
      <selection activeCell="P13" sqref="P13"/>
    </sheetView>
  </sheetViews>
  <sheetFormatPr defaultRowHeight="14.4" x14ac:dyDescent="0.3"/>
  <cols>
    <col min="1" max="1" width="8.796875" style="1"/>
    <col min="14" max="14" width="13.5" customWidth="1"/>
    <col min="15" max="15" width="14.69921875" customWidth="1"/>
    <col min="16" max="16" width="12.59765625" customWidth="1"/>
    <col min="18" max="19" width="17" customWidth="1"/>
  </cols>
  <sheetData>
    <row r="1" spans="1:20" x14ac:dyDescent="0.3">
      <c r="A1" s="7" t="s">
        <v>31</v>
      </c>
      <c r="B1" s="7" t="s">
        <v>30</v>
      </c>
      <c r="C1" s="7" t="s">
        <v>29</v>
      </c>
      <c r="D1" s="7" t="s">
        <v>28</v>
      </c>
      <c r="E1" s="7" t="s">
        <v>27</v>
      </c>
      <c r="F1" s="7" t="s">
        <v>26</v>
      </c>
      <c r="G1" s="7" t="s">
        <v>25</v>
      </c>
      <c r="H1" s="7" t="s">
        <v>24</v>
      </c>
      <c r="I1" s="7" t="s">
        <v>23</v>
      </c>
      <c r="J1" s="7" t="s">
        <v>22</v>
      </c>
      <c r="K1" s="7" t="s">
        <v>21</v>
      </c>
      <c r="L1" s="7" t="s">
        <v>20</v>
      </c>
      <c r="N1" t="s">
        <v>19</v>
      </c>
      <c r="O1" t="s">
        <v>18</v>
      </c>
      <c r="P1" t="s">
        <v>15</v>
      </c>
      <c r="R1" t="s">
        <v>17</v>
      </c>
      <c r="S1" t="s">
        <v>16</v>
      </c>
      <c r="T1" t="s">
        <v>15</v>
      </c>
    </row>
    <row r="2" spans="1:20" x14ac:dyDescent="0.3">
      <c r="A2" s="8" t="s">
        <v>14</v>
      </c>
      <c r="B2" s="7">
        <v>1</v>
      </c>
      <c r="C2" s="7">
        <v>1</v>
      </c>
      <c r="D2" s="7">
        <v>0.5</v>
      </c>
      <c r="E2" s="7">
        <v>0.5</v>
      </c>
      <c r="F2" s="7">
        <v>0</v>
      </c>
      <c r="G2" s="7">
        <v>0</v>
      </c>
      <c r="H2" s="7">
        <v>0</v>
      </c>
      <c r="I2" s="7">
        <v>0.5</v>
      </c>
      <c r="J2" s="7">
        <v>0.25</v>
      </c>
      <c r="K2" s="7">
        <v>0</v>
      </c>
      <c r="L2" s="7">
        <v>0</v>
      </c>
      <c r="N2">
        <f>SQRT(SUMXMY2(B2:L2,$B$4:$L$4))</f>
        <v>1.0174969287422935</v>
      </c>
      <c r="O2">
        <f>SQRT(SUMXMY2(B2:L2,$B$6:$L$6))</f>
        <v>2.4109126902482387</v>
      </c>
      <c r="P2" s="20" t="str">
        <f>IF(N2 &lt; O2, "C1 (r3)", "C2 (r5)")</f>
        <v>C1 (r3)</v>
      </c>
      <c r="R2">
        <f>SQRT(SUMXMY2(B2:L2,$B$13:$L$13))</f>
        <v>0.94884469224420487</v>
      </c>
      <c r="S2">
        <f>SQRT(SUMXMY2(B2:L2,$B$14:$L$14))</f>
        <v>2.4109126902482387</v>
      </c>
      <c r="T2" s="20" t="str">
        <f>IF(R2 &lt; S2, "C1V", "C2V")</f>
        <v>C1V</v>
      </c>
    </row>
    <row r="3" spans="1:20" ht="14.95" thickBot="1" x14ac:dyDescent="0.35">
      <c r="A3" s="6" t="s">
        <v>13</v>
      </c>
      <c r="B3" s="5">
        <v>1</v>
      </c>
      <c r="C3" s="5">
        <v>1</v>
      </c>
      <c r="D3" s="5">
        <v>0.5</v>
      </c>
      <c r="E3" s="5">
        <v>0.5</v>
      </c>
      <c r="F3" s="5">
        <v>0</v>
      </c>
      <c r="G3" s="5">
        <v>0</v>
      </c>
      <c r="H3" s="5">
        <v>0</v>
      </c>
      <c r="I3" s="5">
        <v>0.5</v>
      </c>
      <c r="J3" s="5">
        <v>0.25</v>
      </c>
      <c r="K3" s="5">
        <v>0</v>
      </c>
      <c r="L3" s="5">
        <v>0</v>
      </c>
      <c r="N3">
        <f>SQRT(SUMXMY2(B3:L3,$B$4:$L$4))</f>
        <v>1.0174969287422935</v>
      </c>
      <c r="O3">
        <f>SQRT(SUMXMY2(B3:L3,$B$6:$L$6))</f>
        <v>2.4109126902482387</v>
      </c>
      <c r="P3" s="20" t="str">
        <f>IF(N3 &lt; O3, "C1 (r3)", "C2 (r5)")</f>
        <v>C1 (r3)</v>
      </c>
      <c r="R3">
        <f>SQRT(SUMXMY2(B3:L3,$B$13:$L$13))</f>
        <v>0.94884469224420487</v>
      </c>
      <c r="S3">
        <f>SQRT(SUMXMY2(B3:L3,$B$14:$L$14))</f>
        <v>2.4109126902482387</v>
      </c>
      <c r="T3" s="20" t="str">
        <f>IF(R3 &lt; S3, "C1V", "C2V")</f>
        <v>C1V</v>
      </c>
    </row>
    <row r="4" spans="1:20" ht="14.95" thickBot="1" x14ac:dyDescent="0.35">
      <c r="A4" s="19" t="s">
        <v>12</v>
      </c>
      <c r="B4" s="18">
        <v>0.5</v>
      </c>
      <c r="C4" s="18">
        <v>0.5</v>
      </c>
      <c r="D4" s="18">
        <v>1</v>
      </c>
      <c r="E4" s="18">
        <v>1</v>
      </c>
      <c r="F4" s="18">
        <v>0</v>
      </c>
      <c r="G4" s="18">
        <v>0</v>
      </c>
      <c r="H4" s="18">
        <v>0</v>
      </c>
      <c r="I4" s="18">
        <v>0.33</v>
      </c>
      <c r="J4" s="18">
        <v>0.33</v>
      </c>
      <c r="K4" s="18">
        <v>0</v>
      </c>
      <c r="L4" s="17">
        <v>0</v>
      </c>
      <c r="N4">
        <f>SQRT(SUMXMY2(B4:L4,$B$4:$L$4))</f>
        <v>0</v>
      </c>
      <c r="O4">
        <f>SQRT(SUMXMY2(B4:L4,$B$6:$L$6))</f>
        <v>2.391192171281932</v>
      </c>
      <c r="P4" s="20" t="str">
        <f>IF(N4 &lt; O4, "C1 (r3)", "C2 (r5)")</f>
        <v>C1 (r3)</v>
      </c>
      <c r="R4">
        <f>SQRT(SUMXMY2(B4:L4,$B$13:$L$13))</f>
        <v>0.94235410011311571</v>
      </c>
      <c r="S4">
        <f>SQRT(SUMXMY2(B4:L4,$B$14:$L$14))</f>
        <v>2.391192171281932</v>
      </c>
      <c r="T4" s="20" t="str">
        <f>IF(R4 &lt; S4, "C1V", "C2V")</f>
        <v>C1V</v>
      </c>
    </row>
    <row r="5" spans="1:20" ht="14.95" thickBot="1" x14ac:dyDescent="0.35">
      <c r="A5" s="16" t="s">
        <v>11</v>
      </c>
      <c r="B5" s="15">
        <v>0.5</v>
      </c>
      <c r="C5" s="15">
        <v>0.5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0.33</v>
      </c>
      <c r="J5" s="15">
        <v>0.33</v>
      </c>
      <c r="K5" s="15">
        <v>0</v>
      </c>
      <c r="L5" s="15">
        <v>0</v>
      </c>
      <c r="N5">
        <f>SQRT(SUMXMY2(B5:L5,$B$4:$L$4))</f>
        <v>0</v>
      </c>
      <c r="O5">
        <f>SQRT(SUMXMY2(B5:L5,$B$6:$L$6))</f>
        <v>2.391192171281932</v>
      </c>
      <c r="P5" s="20" t="str">
        <f>IF(N5 &lt; O5, "C1 (r3)", "C2 (r5)")</f>
        <v>C1 (r3)</v>
      </c>
      <c r="R5">
        <f>SQRT(SUMXMY2(B5:L5,$B$13:$L$13))</f>
        <v>0.94235410011311571</v>
      </c>
      <c r="S5">
        <f>SQRT(SUMXMY2(B5:L5,$B$14:$L$14))</f>
        <v>2.391192171281932</v>
      </c>
      <c r="T5" s="20" t="str">
        <f>IF(R5 &lt; S5, "C1V", "C2V")</f>
        <v>C1V</v>
      </c>
    </row>
    <row r="6" spans="1:20" ht="14.95" thickBot="1" x14ac:dyDescent="0.35">
      <c r="A6" s="14" t="s">
        <v>10</v>
      </c>
      <c r="B6" s="13">
        <v>0</v>
      </c>
      <c r="C6" s="13">
        <v>0</v>
      </c>
      <c r="D6" s="13">
        <v>0</v>
      </c>
      <c r="E6" s="13">
        <v>0</v>
      </c>
      <c r="F6" s="13">
        <v>1</v>
      </c>
      <c r="G6" s="13">
        <v>1</v>
      </c>
      <c r="H6" s="13">
        <v>1</v>
      </c>
      <c r="I6" s="13">
        <v>0</v>
      </c>
      <c r="J6" s="13">
        <v>0</v>
      </c>
      <c r="K6" s="13">
        <v>0</v>
      </c>
      <c r="L6" s="12">
        <v>0</v>
      </c>
      <c r="N6">
        <f>SQRT(SUMXMY2(B6:L6,$B$4:$L$4))</f>
        <v>2.391192171281932</v>
      </c>
      <c r="O6">
        <f>SQRT(SUMXMY2(B6:L6,$B$6:$L$6))</f>
        <v>0</v>
      </c>
      <c r="P6" s="21" t="str">
        <f>IF(N6 &lt; O6, "C1 (r3)", "C2 (r5)")</f>
        <v>C2 (r5)</v>
      </c>
      <c r="R6">
        <f>SQRT(SUMXMY2(B6:L6,$B$13:$L$13))</f>
        <v>2.1280111019447245</v>
      </c>
      <c r="S6">
        <f>SQRT(SUMXMY2(B6:L6,$B$14:$L$14))</f>
        <v>0</v>
      </c>
      <c r="T6" s="21" t="str">
        <f>IF(R6 &lt; S6, "C1V", "C2V")</f>
        <v>C2V</v>
      </c>
    </row>
    <row r="7" spans="1:20" x14ac:dyDescent="0.3">
      <c r="A7" s="11" t="s">
        <v>9</v>
      </c>
      <c r="B7" s="10">
        <v>0</v>
      </c>
      <c r="C7" s="10">
        <v>0</v>
      </c>
      <c r="D7" s="10">
        <v>0</v>
      </c>
      <c r="E7" s="10">
        <v>0</v>
      </c>
      <c r="F7" s="10">
        <v>1</v>
      </c>
      <c r="G7" s="10">
        <v>1</v>
      </c>
      <c r="H7" s="10">
        <v>1</v>
      </c>
      <c r="I7" s="10">
        <v>0</v>
      </c>
      <c r="J7" s="10">
        <v>0</v>
      </c>
      <c r="K7" s="10">
        <v>0</v>
      </c>
      <c r="L7" s="10">
        <v>0</v>
      </c>
      <c r="N7">
        <f>SQRT(SUMXMY2(B7:L7,$B$4:$L$4))</f>
        <v>2.391192171281932</v>
      </c>
      <c r="O7">
        <f>SQRT(SUMXMY2(B7:L7,$B$6:$L$6))</f>
        <v>0</v>
      </c>
      <c r="P7" s="21" t="str">
        <f>IF(N7 &lt; O7, "C1 (r3)", "C2 (r5)")</f>
        <v>C2 (r5)</v>
      </c>
      <c r="R7">
        <f>SQRT(SUMXMY2(B7:L7,$B$13:$L$13))</f>
        <v>2.1280111019447245</v>
      </c>
      <c r="S7">
        <f>SQRT(SUMXMY2(B7:L7,$B$14:$L$14))</f>
        <v>0</v>
      </c>
      <c r="T7" s="21" t="str">
        <f>IF(R7 &lt; S7, "C1V", "C2V")</f>
        <v>C2V</v>
      </c>
    </row>
    <row r="8" spans="1:20" x14ac:dyDescent="0.3">
      <c r="A8" s="9" t="s">
        <v>8</v>
      </c>
      <c r="B8" s="7">
        <v>0</v>
      </c>
      <c r="C8" s="7">
        <v>0</v>
      </c>
      <c r="D8" s="7">
        <v>0</v>
      </c>
      <c r="E8" s="7">
        <v>0</v>
      </c>
      <c r="F8" s="7">
        <v>1</v>
      </c>
      <c r="G8" s="7">
        <v>1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N8">
        <f>SQRT(SUMXMY2(B8:L8,$B$4:$L$4))</f>
        <v>2.391192171281932</v>
      </c>
      <c r="O8">
        <f>SQRT(SUMXMY2(B8:L8,$B$6:$L$6))</f>
        <v>0</v>
      </c>
      <c r="P8" s="21" t="str">
        <f>IF(N8 &lt; O8, "C1 (r3)", "C2 (r5)")</f>
        <v>C2 (r5)</v>
      </c>
      <c r="R8">
        <f>SQRT(SUMXMY2(B8:L8,$B$13:$L$13))</f>
        <v>2.1280111019447245</v>
      </c>
      <c r="S8">
        <f>SQRT(SUMXMY2(B8:L8,$B$14:$L$14))</f>
        <v>0</v>
      </c>
      <c r="T8" s="21" t="str">
        <f>IF(R8 &lt; S8, "C1V", "C2V")</f>
        <v>C2V</v>
      </c>
    </row>
    <row r="9" spans="1:20" x14ac:dyDescent="0.3">
      <c r="A9" s="8" t="s">
        <v>7</v>
      </c>
      <c r="B9" s="7">
        <v>0.5</v>
      </c>
      <c r="C9" s="7">
        <v>0.5</v>
      </c>
      <c r="D9" s="7">
        <v>0.33</v>
      </c>
      <c r="E9" s="7">
        <v>0.33</v>
      </c>
      <c r="F9" s="7">
        <v>0</v>
      </c>
      <c r="G9" s="7">
        <v>0</v>
      </c>
      <c r="H9" s="7">
        <v>0</v>
      </c>
      <c r="I9" s="7">
        <v>1</v>
      </c>
      <c r="J9" s="7">
        <v>0.25</v>
      </c>
      <c r="K9" s="7">
        <v>0.17</v>
      </c>
      <c r="L9" s="7">
        <v>0.17</v>
      </c>
      <c r="N9">
        <f>SQRT(SUMXMY2(B9:L9,$B$4:$L$4))</f>
        <v>1.1878131166138888</v>
      </c>
      <c r="O9">
        <f>SQRT(SUMXMY2(B9:L9,$B$6:$L$6))</f>
        <v>2.1995681394310114</v>
      </c>
      <c r="P9" s="20" t="str">
        <f>IF(N9 &lt; O9, "C1 (r3)", "C2 (r5)")</f>
        <v>C1 (r3)</v>
      </c>
      <c r="R9">
        <f>SQRT(SUMXMY2(B9:L9,$B$13:$L$13))</f>
        <v>0.72114925639565075</v>
      </c>
      <c r="S9">
        <f>SQRT(SUMXMY2(B9:L9,$B$14:$L$14))</f>
        <v>2.1995681394310114</v>
      </c>
      <c r="T9" s="20" t="str">
        <f>IF(R9 &lt; S9, "C1V", "C2V")</f>
        <v>C1V</v>
      </c>
    </row>
    <row r="10" spans="1:20" x14ac:dyDescent="0.3">
      <c r="A10" s="8" t="s">
        <v>6</v>
      </c>
      <c r="B10" s="7">
        <v>0.25</v>
      </c>
      <c r="C10" s="7">
        <v>0.25</v>
      </c>
      <c r="D10" s="7">
        <v>0.33</v>
      </c>
      <c r="E10" s="7">
        <v>0.33</v>
      </c>
      <c r="F10" s="7">
        <v>0</v>
      </c>
      <c r="G10" s="7">
        <v>0</v>
      </c>
      <c r="H10" s="7">
        <v>0</v>
      </c>
      <c r="I10" s="7">
        <v>0.25</v>
      </c>
      <c r="J10" s="7">
        <v>1</v>
      </c>
      <c r="K10" s="7">
        <v>0.75</v>
      </c>
      <c r="L10" s="7">
        <v>0.75</v>
      </c>
      <c r="N10">
        <f>SQRT(SUMXMY2(B10:L10,$B$4:$L$4))</f>
        <v>1.6134125324913029</v>
      </c>
      <c r="O10">
        <f>SQRT(SUMXMY2(B10:L10,$B$6:$L$6))</f>
        <v>2.3516589888842305</v>
      </c>
      <c r="P10" s="20" t="str">
        <f>IF(N10 &lt; O10, "C1 (r3)", "C2 (r5)")</f>
        <v>C1 (r3)</v>
      </c>
      <c r="R10">
        <f>SQRT(SUMXMY2(B10:L10,$B$13:$L$13))</f>
        <v>0.84288566840349111</v>
      </c>
      <c r="S10">
        <f>SQRT(SUMXMY2(B10:L10,$B$14:$L$14))</f>
        <v>2.3516589888842305</v>
      </c>
      <c r="T10" s="20" t="str">
        <f>IF(R10 &lt; S10, "C1V", "C2V")</f>
        <v>C1V</v>
      </c>
    </row>
    <row r="11" spans="1:20" x14ac:dyDescent="0.3">
      <c r="A11" s="8" t="s">
        <v>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0.17</v>
      </c>
      <c r="J11" s="7">
        <v>0.75</v>
      </c>
      <c r="K11" s="7">
        <v>1</v>
      </c>
      <c r="L11" s="7">
        <v>1</v>
      </c>
      <c r="N11">
        <f>SQRT(SUMXMY2(B11:L11,$B$4:$L$4))</f>
        <v>2.1684095554115235</v>
      </c>
      <c r="O11">
        <f>SQRT(SUMXMY2(B11:L11,$B$6:$L$6))</f>
        <v>2.3646141334264246</v>
      </c>
      <c r="P11" s="20" t="str">
        <f>IF(N11 &lt; O11, "C1 (r3)", "C2 (r5)")</f>
        <v>C1 (r3)</v>
      </c>
      <c r="R11">
        <f>SQRT(SUMXMY2(B11:L11,$B$13:$L$13))</f>
        <v>1.3373784991542221</v>
      </c>
      <c r="S11">
        <f>SQRT(SUMXMY2(B11:L11,$B$14:$L$14))</f>
        <v>2.3646141334264246</v>
      </c>
      <c r="T11" s="20" t="str">
        <f>IF(R11 &lt; S11, "C1V", "C2V")</f>
        <v>C1V</v>
      </c>
    </row>
    <row r="12" spans="1:20" ht="14.95" thickBot="1" x14ac:dyDescent="0.35">
      <c r="A12" s="6" t="s">
        <v>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0.17</v>
      </c>
      <c r="J12" s="5">
        <v>0.75</v>
      </c>
      <c r="K12" s="5">
        <v>1</v>
      </c>
      <c r="L12" s="5">
        <v>1</v>
      </c>
      <c r="N12">
        <f>SQRT(SUMXMY2(B12:L12,$B$4:$L$4))</f>
        <v>2.1684095554115235</v>
      </c>
      <c r="O12">
        <f>SQRT(SUMXMY2(B12:L12,$B$6:$L$6))</f>
        <v>2.3646141334264246</v>
      </c>
      <c r="P12" s="20" t="str">
        <f>IF(N12 &lt; O12, "C1 (r3)", "C2 (r5)")</f>
        <v>C1 (r3)</v>
      </c>
      <c r="R12">
        <f>SQRT(SUMXMY2(B12:L12,$B$13:$L$13))</f>
        <v>1.3373784991542221</v>
      </c>
      <c r="S12">
        <f>SQRT(SUMXMY2(B12:L12,$B$14:$L$14))</f>
        <v>2.3646141334264246</v>
      </c>
      <c r="T12" s="20" t="str">
        <f>IF(R12 &lt; S12, "C1V", "C2V")</f>
        <v>C1V</v>
      </c>
    </row>
    <row r="13" spans="1:20" ht="14.95" thickBot="1" x14ac:dyDescent="0.35">
      <c r="A13" s="4" t="s">
        <v>3</v>
      </c>
      <c r="B13" s="3">
        <f>AVERAGE(B2:B5,B9:B12)</f>
        <v>0.46875</v>
      </c>
      <c r="C13" s="3">
        <f>AVERAGE(C2:C5,C9:C12)</f>
        <v>0.46875</v>
      </c>
      <c r="D13" s="3">
        <f>AVERAGE(D2:D5,D9:D12)</f>
        <v>0.45750000000000002</v>
      </c>
      <c r="E13" s="3">
        <f>AVERAGE(E2:E5,E9:E12)</f>
        <v>0.45750000000000002</v>
      </c>
      <c r="F13" s="3">
        <f>AVERAGE(F2:F5,F9:F12)</f>
        <v>0</v>
      </c>
      <c r="G13" s="3">
        <f>AVERAGE(G2:G5,G9:G12)</f>
        <v>0</v>
      </c>
      <c r="H13" s="3">
        <f>AVERAGE(H2:H5,H9:H12)</f>
        <v>0</v>
      </c>
      <c r="I13" s="3">
        <f>AVERAGE(I2:I5,I9:I12)</f>
        <v>0.40625</v>
      </c>
      <c r="J13" s="3">
        <f>AVERAGE(J2:J5,J9:J12)</f>
        <v>0.48875000000000002</v>
      </c>
      <c r="K13" s="3">
        <f>AVERAGE(K2:K5,K9:K12)</f>
        <v>0.36499999999999999</v>
      </c>
      <c r="L13" s="3">
        <f>AVERAGE(L2:L5,L9:L12)</f>
        <v>0.36499999999999999</v>
      </c>
    </row>
    <row r="14" spans="1:20" ht="14.95" thickBot="1" x14ac:dyDescent="0.35">
      <c r="A14" s="4" t="s">
        <v>2</v>
      </c>
      <c r="B14" s="3">
        <f>AVERAGE(B6:B8)</f>
        <v>0</v>
      </c>
      <c r="C14" s="3">
        <f>AVERAGE(C6:C8)</f>
        <v>0</v>
      </c>
      <c r="D14" s="3">
        <f>AVERAGE(D6:D8)</f>
        <v>0</v>
      </c>
      <c r="E14" s="3">
        <f>AVERAGE(E6:E8)</f>
        <v>0</v>
      </c>
      <c r="F14" s="3">
        <f>AVERAGE(F6:F8)</f>
        <v>1</v>
      </c>
      <c r="G14" s="3">
        <f>AVERAGE(G6:G8)</f>
        <v>1</v>
      </c>
      <c r="H14" s="3">
        <f>AVERAGE(H6:H8)</f>
        <v>1</v>
      </c>
      <c r="I14" s="3">
        <f>AVERAGE(I6:I8)</f>
        <v>0</v>
      </c>
      <c r="J14" s="3">
        <f>AVERAGE(J6:J8)</f>
        <v>0</v>
      </c>
      <c r="K14" s="3">
        <f>AVERAGE(K6:K8)</f>
        <v>0</v>
      </c>
      <c r="L14" s="3">
        <f>AVERAGE(L6:L8)</f>
        <v>0</v>
      </c>
    </row>
    <row r="15" spans="1:20" ht="14.95" thickBot="1" x14ac:dyDescent="0.35">
      <c r="A15" s="2" t="s">
        <v>1</v>
      </c>
      <c r="B15" s="2">
        <f>AVERAGE(B2:B5,B9:B12)</f>
        <v>0.46875</v>
      </c>
      <c r="C15" s="2">
        <f>AVERAGE(C2:C5,C9:C12)</f>
        <v>0.46875</v>
      </c>
      <c r="D15" s="2">
        <f>AVERAGE(D2:D5,D9:D12)</f>
        <v>0.45750000000000002</v>
      </c>
      <c r="E15" s="2">
        <f>AVERAGE(E2:E5,E9:E12)</f>
        <v>0.45750000000000002</v>
      </c>
      <c r="F15" s="2">
        <f>AVERAGE(F2:F5,F9:F12)</f>
        <v>0</v>
      </c>
      <c r="G15" s="2">
        <f>AVERAGE(G2:G5,G9:G12)</f>
        <v>0</v>
      </c>
      <c r="H15" s="2">
        <f>AVERAGE(H2:H5,H9:H12)</f>
        <v>0</v>
      </c>
      <c r="I15" s="2">
        <f>AVERAGE(I2:I5,I9:I12)</f>
        <v>0.40625</v>
      </c>
      <c r="J15" s="2">
        <f>AVERAGE(J2:J5,J9:J12)</f>
        <v>0.48875000000000002</v>
      </c>
      <c r="K15" s="2">
        <f>AVERAGE(K2:K5,K9:K12)</f>
        <v>0.36499999999999999</v>
      </c>
      <c r="L15" s="2">
        <f>AVERAGE(L2:L5,L9:L12)</f>
        <v>0.36499999999999999</v>
      </c>
    </row>
    <row r="16" spans="1:20" ht="14.95" thickBot="1" x14ac:dyDescent="0.35">
      <c r="A16" s="2" t="s">
        <v>0</v>
      </c>
      <c r="B16" s="2">
        <f>AVERAGE(B6:B8)</f>
        <v>0</v>
      </c>
      <c r="C16" s="2">
        <f>AVERAGE(C6:C8)</f>
        <v>0</v>
      </c>
      <c r="D16" s="2">
        <f>AVERAGE(D6:D8)</f>
        <v>0</v>
      </c>
      <c r="E16" s="2">
        <f>AVERAGE(E6:E8)</f>
        <v>0</v>
      </c>
      <c r="F16" s="2">
        <f>AVERAGE(F6:F8)</f>
        <v>1</v>
      </c>
      <c r="G16" s="2">
        <f>AVERAGE(G6:G8)</f>
        <v>1</v>
      </c>
      <c r="H16" s="2">
        <f>AVERAGE(H6:H8)</f>
        <v>1</v>
      </c>
      <c r="I16" s="2">
        <f>AVERAGE(I6:I8)</f>
        <v>0</v>
      </c>
      <c r="J16" s="2">
        <f>AVERAGE(J6:J8)</f>
        <v>0</v>
      </c>
      <c r="K16" s="2">
        <f>AVERAGE(K6:K8)</f>
        <v>0</v>
      </c>
      <c r="L16" s="2">
        <f>AVERAGE(L6:L8)</f>
        <v>0</v>
      </c>
    </row>
  </sheetData>
  <pageMargins left="0.7" right="0.7" top="0.75" bottom="0.75" header="0.3" footer="0.3"/>
  <ignoredErrors>
    <ignoredError sqref="B14:L14 B16:L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Minh Nhật</dc:creator>
  <cp:lastModifiedBy>Đỗ Minh Nhật</cp:lastModifiedBy>
  <dcterms:created xsi:type="dcterms:W3CDTF">2025-10-26T04:10:00Z</dcterms:created>
  <dcterms:modified xsi:type="dcterms:W3CDTF">2025-10-26T04:11:41Z</dcterms:modified>
</cp:coreProperties>
</file>